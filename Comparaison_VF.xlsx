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enieul\ownCloud - Anaelle Denieul@cesaer-datas.inra.fr\TI Dijon\donnees\Données analyses - Article N°2 FFQvsCarnets\Résultats_GIT\"/>
    </mc:Choice>
  </mc:AlternateContent>
  <xr:revisionPtr revIDLastSave="0" documentId="13_ncr:1_{3E88E720-16FE-48E5-99FA-2046A1BE5570}" xr6:coauthVersionLast="36" xr6:coauthVersionMax="36" xr10:uidLastSave="{00000000-0000-0000-0000-000000000000}"/>
  <bookViews>
    <workbookView xWindow="0" yWindow="0" windowWidth="13130" windowHeight="6110" activeTab="3" xr2:uid="{00000000-000D-0000-FFFF-FFFF00000000}"/>
  </bookViews>
  <sheets>
    <sheet name="WFFQ1_NOV21" sheetId="1" r:id="rId1"/>
    <sheet name="WFFQ1_MAR22" sheetId="2" r:id="rId2"/>
    <sheet name="WFFQ2_NOV22" sheetId="3" r:id="rId3"/>
    <sheet name="WFFQ2_MAR23" sheetId="4" r:id="rId4"/>
    <sheet name="WFFQ3_NOV23" sheetId="5" r:id="rId5"/>
    <sheet name="WFFQ3_MARS24" sheetId="6" r:id="rId6"/>
    <sheet name="MFFQ" sheetId="7" r:id="rId7"/>
  </sheets>
  <definedNames>
    <definedName name="_xlnm._FilterDatabase" localSheetId="6" hidden="1">MFFQ!$A$1:$T$44</definedName>
    <definedName name="_xlnm._FilterDatabase" localSheetId="1" hidden="1">WFFQ1_MAR22!$A$1:$T$44</definedName>
    <definedName name="_xlnm._FilterDatabase" localSheetId="0" hidden="1">WFFQ1_NOV21!$A$1:$T$44</definedName>
    <definedName name="_xlnm._FilterDatabase" localSheetId="3" hidden="1">WFFQ2_MAR23!$A$1:$T$44</definedName>
    <definedName name="_xlnm._FilterDatabase" localSheetId="2" hidden="1">WFFQ2_NOV22!$A$1:$T$44</definedName>
    <definedName name="_xlnm._FilterDatabase" localSheetId="5" hidden="1">WFFQ3_MARS24!$A$1:$T$44</definedName>
    <definedName name="_xlnm._FilterDatabase" localSheetId="4" hidden="1">WFFQ3_NOV23!$A$1:$T$44</definedName>
  </definedNames>
  <calcPr calcId="191029"/>
</workbook>
</file>

<file path=xl/calcChain.xml><?xml version="1.0" encoding="utf-8"?>
<calcChain xmlns="http://schemas.openxmlformats.org/spreadsheetml/2006/main">
  <c r="T2" i="6" l="1"/>
  <c r="T2" i="2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3" i="7"/>
  <c r="T2" i="7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T2" i="4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</calcChain>
</file>

<file path=xl/sharedStrings.xml><?xml version="1.0" encoding="utf-8"?>
<sst xmlns="http://schemas.openxmlformats.org/spreadsheetml/2006/main" count="1615" uniqueCount="633">
  <si>
    <t>variable</t>
  </si>
  <si>
    <t>moyenne_Booklet</t>
  </si>
  <si>
    <t>ci95_Booklet</t>
  </si>
  <si>
    <t>moyenne_FFQ</t>
  </si>
  <si>
    <t>ci95_FFQ</t>
  </si>
  <si>
    <t>Delta</t>
  </si>
  <si>
    <t>pct_bias</t>
  </si>
  <si>
    <t>p_value_diff</t>
  </si>
  <si>
    <t>pearson_correlation</t>
  </si>
  <si>
    <t>pearson_p_value</t>
  </si>
  <si>
    <t>adj_pearson_correlation</t>
  </si>
  <si>
    <t>adj_pearson_p_value</t>
  </si>
  <si>
    <t>spearman_correlation</t>
  </si>
  <si>
    <t>spearman_p_value</t>
  </si>
  <si>
    <t>pct_similar_quintile</t>
  </si>
  <si>
    <t>pct_adjacent_quintile</t>
  </si>
  <si>
    <t>pct_opposite_quintile</t>
  </si>
  <si>
    <t>classe</t>
  </si>
  <si>
    <t>periode</t>
  </si>
  <si>
    <t>VIANDES_Poids</t>
  </si>
  <si>
    <t>[53.66, 146.13]</t>
  </si>
  <si>
    <t>[84.17, 151.45]</t>
  </si>
  <si>
    <t>Weakly. No correlation coefficient ≥ 0.4.</t>
  </si>
  <si>
    <t>Nov21_TI</t>
  </si>
  <si>
    <t>CEREALES_PD_Poids</t>
  </si>
  <si>
    <t>[-0.39, 3.30]</t>
  </si>
  <si>
    <t>[-0.20, 2.61]</t>
  </si>
  <si>
    <t>FEC_NON_RAF_Poids</t>
  </si>
  <si>
    <t>[31.20, 62.42]</t>
  </si>
  <si>
    <t>[72.13, 171.51]</t>
  </si>
  <si>
    <t>FEC_RAF_Poids</t>
  </si>
  <si>
    <t>[82.75, 149.68]</t>
  </si>
  <si>
    <t>[123.16, 228.27]</t>
  </si>
  <si>
    <t>FROMAGES_Poids</t>
  </si>
  <si>
    <t>[28.11, 59.65]</t>
  </si>
  <si>
    <t>[37.74, 80.06]</t>
  </si>
  <si>
    <t>Moderatly. At least one of the two correlation coefficients is ≥ 0.4 and the means are not significantly different</t>
  </si>
  <si>
    <t>FRUITS_Poids</t>
  </si>
  <si>
    <t>[106.43, 326.77]</t>
  </si>
  <si>
    <t>[56.74, 125.68]</t>
  </si>
  <si>
    <t>Poorly. At least one of the two correlation coefficients is ≥ 0.4, but the means are statistically different</t>
  </si>
  <si>
    <t>FRUITS_SECS_Poids</t>
  </si>
  <si>
    <t>[-3.31, 15.98]</t>
  </si>
  <si>
    <t>[0.59, 12.05]</t>
  </si>
  <si>
    <t>LAITAGES_Poids</t>
  </si>
  <si>
    <t>[54.42, 137.40]</t>
  </si>
  <si>
    <t>[9.76, 20.95]</t>
  </si>
  <si>
    <t>LEGUMES_Poids</t>
  </si>
  <si>
    <t>[141.06, 264.18]</t>
  </si>
  <si>
    <t>[75.75, 137.44]</t>
  </si>
  <si>
    <t>LEG_SECS_Poids</t>
  </si>
  <si>
    <t>[9.79, 45.38]</t>
  </si>
  <si>
    <t>[24.94, 86.15]</t>
  </si>
  <si>
    <t>NOIX_Poids</t>
  </si>
  <si>
    <t>[-2.19, 16.26]</t>
  </si>
  <si>
    <t>[0.50, 5.26]</t>
  </si>
  <si>
    <t>OEUFS_Poids</t>
  </si>
  <si>
    <t>[9.92, 25.79]</t>
  </si>
  <si>
    <t>[20.36, 57.99]</t>
  </si>
  <si>
    <t>PDTS_SUCRES_Poids</t>
  </si>
  <si>
    <t>[85.14, 148.74]</t>
  </si>
  <si>
    <t>[20.82, 82.33]</t>
  </si>
  <si>
    <t>PORC_Poids</t>
  </si>
  <si>
    <t>[-0.57, 3.04]</t>
  </si>
  <si>
    <t>[1.87, 17.93]</t>
  </si>
  <si>
    <t>POULET_Poids</t>
  </si>
  <si>
    <t>[13.16, 49.71]</t>
  </si>
  <si>
    <t>[18.32, 51.02]</t>
  </si>
  <si>
    <t>QUICHES_PIZZAS_TARTES_SALEES_Poids</t>
  </si>
  <si>
    <t>[1.32, 19.19]</t>
  </si>
  <si>
    <t>[5.88, 38.31]</t>
  </si>
  <si>
    <t>SNACKS_AUTRES_Poids</t>
  </si>
  <si>
    <t>[6.11, 16.99]</t>
  </si>
  <si>
    <t>[-0.06, 1.19]</t>
  </si>
  <si>
    <t>VIANDE_ROUGE_Poids</t>
  </si>
  <si>
    <t>[10.62, 29.73]</t>
  </si>
  <si>
    <t>[6.93, 22.17]</t>
  </si>
  <si>
    <t>FRUITS_JUS_Poids</t>
  </si>
  <si>
    <t>[2.28, 77.20]</t>
  </si>
  <si>
    <t>[17.35, 176.06]</t>
  </si>
  <si>
    <t>Strongly. One of the two correlation coefficients is ≥ 0.6 and the other ≥ 0.4, and the averages are not significantly different</t>
  </si>
  <si>
    <t>LAIT_Poids</t>
  </si>
  <si>
    <t>[45.22, 147.53]</t>
  </si>
  <si>
    <t>[63.55, 317.22]</t>
  </si>
  <si>
    <t>SODAS_LIGHT_Poids</t>
  </si>
  <si>
    <t>[1.17, 24.86]</t>
  </si>
  <si>
    <t>[NaN, NaN]</t>
  </si>
  <si>
    <t>Missing</t>
  </si>
  <si>
    <t>SODAS_SUCRES_Poids</t>
  </si>
  <si>
    <t>[4.09, 50.83]</t>
  </si>
  <si>
    <t>[-24.33, 103.45]</t>
  </si>
  <si>
    <t>MGA_Poids</t>
  </si>
  <si>
    <t>MGV_Poids</t>
  </si>
  <si>
    <t>FV_Poids</t>
  </si>
  <si>
    <t>[306.14, 559.04]</t>
  </si>
  <si>
    <t>[152.96, 261.05]</t>
  </si>
  <si>
    <t>FEC_Poids</t>
  </si>
  <si>
    <t>[124.06, 201.99]</t>
  </si>
  <si>
    <t>[226.52, 368.55]</t>
  </si>
  <si>
    <t>PDTS_LAITIERS_Poids</t>
  </si>
  <si>
    <t>[168.73, 303.61]</t>
  </si>
  <si>
    <t>[141.68, 387.60]</t>
  </si>
  <si>
    <t>POULET_OEUFS_Poids</t>
  </si>
  <si>
    <t>[26.09, 72.50]</t>
  </si>
  <si>
    <t>[48.58, 99.10]</t>
  </si>
  <si>
    <t>AUTRE_PDTS_ANIMAUX_Poids</t>
  </si>
  <si>
    <t>[4.35, 54.02]</t>
  </si>
  <si>
    <t>[9.97, 29.06]</t>
  </si>
  <si>
    <t>VIANDE_ROUGE_PORC_Poids</t>
  </si>
  <si>
    <t>[11.61, 31.21]</t>
  </si>
  <si>
    <t>[11.84, 37.07]</t>
  </si>
  <si>
    <t>PDTS_DISCRETIONNAIRES_Poids</t>
  </si>
  <si>
    <t>[95.89, 164.01]</t>
  </si>
  <si>
    <t>[22.23, 84.46]</t>
  </si>
  <si>
    <t>SSB_Poids</t>
  </si>
  <si>
    <t>[31.18, 129.25]</t>
  </si>
  <si>
    <t>[39.20, 233.33]</t>
  </si>
  <si>
    <t>PLATS_PREP_VEGETARIENS_Poids</t>
  </si>
  <si>
    <t>PLATS_PREP_CARNES_Poids</t>
  </si>
  <si>
    <t>[12.72, 34.36]</t>
  </si>
  <si>
    <t>[-3.84, 50.00]</t>
  </si>
  <si>
    <t>POISSONS_Poids</t>
  </si>
  <si>
    <t>[17.80, 45.11]</t>
  </si>
  <si>
    <t>[16.96, 39.30]</t>
  </si>
  <si>
    <t>ALCOOL_Poids</t>
  </si>
  <si>
    <t>[-14.85, 105.35]</t>
  </si>
  <si>
    <t>[3.73, 18.95]</t>
  </si>
  <si>
    <t>SAUCES_Poids</t>
  </si>
  <si>
    <t>DESSERTS_LACTES_Poids</t>
  </si>
  <si>
    <t>EAU_Poids</t>
  </si>
  <si>
    <t>SOMME_HORS_BOISSON_Poids</t>
  </si>
  <si>
    <t>[991.97, 1414.93]</t>
  </si>
  <si>
    <t>[716.86, 932.53]</t>
  </si>
  <si>
    <t>SOMME_POIDS_Poids</t>
  </si>
  <si>
    <t>[1287.05, 1823.09]</t>
  </si>
  <si>
    <t>[973.77, 1351.59]</t>
  </si>
  <si>
    <t>SOMME_KCAL_Poids</t>
  </si>
  <si>
    <t>[1875.69, 2784.07]</t>
  </si>
  <si>
    <t>[1801.34, 2391.61]</t>
  </si>
  <si>
    <t>[48.10, 98.98]</t>
  </si>
  <si>
    <t>[100.67, 203.00]</t>
  </si>
  <si>
    <t>March22_TI</t>
  </si>
  <si>
    <t>[-0.28, 3.92]</t>
  </si>
  <si>
    <t>[-0.84, 3.59]</t>
  </si>
  <si>
    <t>[39.74, 83.87]</t>
  </si>
  <si>
    <t>[72.19, 129.42]</t>
  </si>
  <si>
    <t>[189.93, 393.11]</t>
  </si>
  <si>
    <t>[115.22, 223.04]</t>
  </si>
  <si>
    <t>[27.46, 59.90]</t>
  </si>
  <si>
    <t>[40.59, 74.58]</t>
  </si>
  <si>
    <t>[132.01, 315.43]</t>
  </si>
  <si>
    <t>[73.05, 132.44]</t>
  </si>
  <si>
    <t>[-1.75, 5.05]</t>
  </si>
  <si>
    <t>[0.17, 4.77]</t>
  </si>
  <si>
    <t>[30.85, 79.16]</t>
  </si>
  <si>
    <t>[7.84, 19.67]</t>
  </si>
  <si>
    <t>[156.67, 280.52]</t>
  </si>
  <si>
    <t>[80.20, 124.20]</t>
  </si>
  <si>
    <t>[14.27, 80.84]</t>
  </si>
  <si>
    <t>[34.37, 99.60]</t>
  </si>
  <si>
    <t>[-0.04, 11.91]</t>
  </si>
  <si>
    <t>[0.53, 7.16]</t>
  </si>
  <si>
    <t>Substantialy. The two correlation coefficients are ≥ 0.4 and the means are not significantly different</t>
  </si>
  <si>
    <t>[9.29, 35.19]</t>
  </si>
  <si>
    <t>[18.57, 44.45]</t>
  </si>
  <si>
    <t>[74.55, 133.26]</t>
  </si>
  <si>
    <t>[35.08, 117.66]</t>
  </si>
  <si>
    <t>[-0.12, 1.44]</t>
  </si>
  <si>
    <t>[2.60, 22.16]</t>
  </si>
  <si>
    <t>[9.38, 24.02]</t>
  </si>
  <si>
    <t>[17.32, 114.41]</t>
  </si>
  <si>
    <t>[1.01, 14.26]</t>
  </si>
  <si>
    <t>[24.41, 88.53]</t>
  </si>
  <si>
    <t>[5.27, 14.85]</t>
  </si>
  <si>
    <t>[-0.20, 1.64]</t>
  </si>
  <si>
    <t>[10.24, 23.65]</t>
  </si>
  <si>
    <t>[12.31, 39.18]</t>
  </si>
  <si>
    <t>[-6.63, 50.02]</t>
  </si>
  <si>
    <t>[24.33, 111.93]</t>
  </si>
  <si>
    <t>[-0.30, 4.19]</t>
  </si>
  <si>
    <t>[58.05, 234.26]</t>
  </si>
  <si>
    <t>[-9.94, 45.10]</t>
  </si>
  <si>
    <t>[1.94, 14.63]</t>
  </si>
  <si>
    <t>[9.80, 82.51]</t>
  </si>
  <si>
    <t>[305.50, 594.30]</t>
  </si>
  <si>
    <t>[171.42, 251.11]</t>
  </si>
  <si>
    <t>[247.47, 459.18]</t>
  </si>
  <si>
    <t>[217.63, 322.25]</t>
  </si>
  <si>
    <t>[67.80, 133.46]</t>
  </si>
  <si>
    <t>[129.98, 305.00]</t>
  </si>
  <si>
    <t>[20.93, 56.96]</t>
  </si>
  <si>
    <t>[47.67, 147.08]</t>
  </si>
  <si>
    <t>[7.87, 26.10]</t>
  </si>
  <si>
    <t>[9.35, 23.31]</t>
  </si>
  <si>
    <t>[10.72, 24.49]</t>
  </si>
  <si>
    <t>[19.06, 57.20]</t>
  </si>
  <si>
    <t>[83.96, 147.62]</t>
  </si>
  <si>
    <t>[37.13, 119.81]</t>
  </si>
  <si>
    <t>[1.85, 62.00]</t>
  </si>
  <si>
    <t>[78.13, 185.61]</t>
  </si>
  <si>
    <t>[28.30, 74.84]</t>
  </si>
  <si>
    <t>[0.81, 98.09]</t>
  </si>
  <si>
    <t>[14.50, 28.96]</t>
  </si>
  <si>
    <t>[19.85, 39.93]</t>
  </si>
  <si>
    <t>[1.79, 12.96]</t>
  </si>
  <si>
    <t>[6.79, 21.56]</t>
  </si>
  <si>
    <t>[1001.17, 1635.78]</t>
  </si>
  <si>
    <t>[775.53, 1051.93]</t>
  </si>
  <si>
    <t>[1029.84, 1694.68]</t>
  </si>
  <si>
    <t>[1038.70, 1373.15]</t>
  </si>
  <si>
    <t>[1789.23, 2958.99]</t>
  </si>
  <si>
    <t>[1882.16, 2630.10]</t>
  </si>
  <si>
    <t>[57.47, 86.95]</t>
  </si>
  <si>
    <t>[47.57, 78.63]</t>
  </si>
  <si>
    <t>Nov22_TI</t>
  </si>
  <si>
    <t>[2.16, 7.49]</t>
  </si>
  <si>
    <t>[0.83, 8.71]</t>
  </si>
  <si>
    <t>[58.23, 104.07]</t>
  </si>
  <si>
    <t>[58.43, 99.53]</t>
  </si>
  <si>
    <t>[87.89, 201.66]</t>
  </si>
  <si>
    <t>[112.60, 193.60]</t>
  </si>
  <si>
    <t>[32.55, 52.74]</t>
  </si>
  <si>
    <t>[22.64, 43.79]</t>
  </si>
  <si>
    <t>[108.36, 184.60]</t>
  </si>
  <si>
    <t>[190.32, 303.27]</t>
  </si>
  <si>
    <t>[0.18, 3.43]</t>
  </si>
  <si>
    <t>[1.10, 5.94]</t>
  </si>
  <si>
    <t>[55.29, 114.10]</t>
  </si>
  <si>
    <t>[53.66, 87.73]</t>
  </si>
  <si>
    <t>[156.81, 232.66]</t>
  </si>
  <si>
    <t>[252.74, 360.75]</t>
  </si>
  <si>
    <t>[9.70, 26.17]</t>
  </si>
  <si>
    <t>[15.86, 31.03]</t>
  </si>
  <si>
    <t>[2.56, 8.45]</t>
  </si>
  <si>
    <t>[1.87, 5.16]</t>
  </si>
  <si>
    <t>[10.74, 18.12]</t>
  </si>
  <si>
    <t>[6.57, 16.30]</t>
  </si>
  <si>
    <t>[70.42, 104.65]</t>
  </si>
  <si>
    <t>[33.71, 54.26]</t>
  </si>
  <si>
    <t>[1.34, 5.25]</t>
  </si>
  <si>
    <t>[0.45, 5.29]</t>
  </si>
  <si>
    <t>[10.19, 21.95]</t>
  </si>
  <si>
    <t>[12.58, 23.43]</t>
  </si>
  <si>
    <t>[5.36, 14.50]</t>
  </si>
  <si>
    <t>[7.22, 20.32]</t>
  </si>
  <si>
    <t>[13.65, 28.99]</t>
  </si>
  <si>
    <t>[15.80, 39.80]</t>
  </si>
  <si>
    <t>[7.76, 23.03]</t>
  </si>
  <si>
    <t>[11.33, 23.60]</t>
  </si>
  <si>
    <t>[19.44, 53.27]</t>
  </si>
  <si>
    <t>[96.05, 301.62]</t>
  </si>
  <si>
    <t>[46.48, 116.12]</t>
  </si>
  <si>
    <t>[33.66, 114.12]</t>
  </si>
  <si>
    <t>[5.53, 83.70]</t>
  </si>
  <si>
    <t>[24.25, 264.84]</t>
  </si>
  <si>
    <t>[11.50, 145.86]</t>
  </si>
  <si>
    <t>[42.68, 278.70]</t>
  </si>
  <si>
    <t>[9.25, 19.15]</t>
  </si>
  <si>
    <t>[7.49, 12.55]</t>
  </si>
  <si>
    <t>[18.68, 36.68]</t>
  </si>
  <si>
    <t>[14.03, 22.95]</t>
  </si>
  <si>
    <t>[285.20, 411.86]</t>
  </si>
  <si>
    <t>[473.74, 647.42]</t>
  </si>
  <si>
    <t>[161.17, 290.69]</t>
  </si>
  <si>
    <t>[187.40, 276.76]</t>
  </si>
  <si>
    <t>[155.41, 261.87]</t>
  </si>
  <si>
    <t>[135.71, 219.88]</t>
  </si>
  <si>
    <t>[22.48, 38.51]</t>
  </si>
  <si>
    <t>[22.05, 36.84]</t>
  </si>
  <si>
    <t>[16.21, 29.84]</t>
  </si>
  <si>
    <t>[7.17, 19.46]</t>
  </si>
  <si>
    <t>[10.67, 26.71]</t>
  </si>
  <si>
    <t>[13.24, 27.43]</t>
  </si>
  <si>
    <t>[93.65, 133.70]</t>
  </si>
  <si>
    <t>[60.04, 93.06]</t>
  </si>
  <si>
    <t>[77.72, 241.60]</t>
  </si>
  <si>
    <t>[302.95, 705.18]</t>
  </si>
  <si>
    <t>[5.63, 17.63]</t>
  </si>
  <si>
    <t>[0.20, 2.80]</t>
  </si>
  <si>
    <t>[15.04, 28.81]</t>
  </si>
  <si>
    <t>[18.01, 46.45]</t>
  </si>
  <si>
    <t>[19.32, 32.41]</t>
  </si>
  <si>
    <t>[9.64, 23.99]</t>
  </si>
  <si>
    <t>[18.40, 54.08]</t>
  </si>
  <si>
    <t>[14.94, 46.26]</t>
  </si>
  <si>
    <t>[9.22, 21.94]</t>
  </si>
  <si>
    <t>[7.08, 12.13]</t>
  </si>
  <si>
    <t>[12.90, 30.86]</t>
  </si>
  <si>
    <t>[12.60, 34.74]</t>
  </si>
  <si>
    <t>[49.97, 179.02]</t>
  </si>
  <si>
    <t>[324.25, 791.07]</t>
  </si>
  <si>
    <t>[931.29, 1187.15]</t>
  </si>
  <si>
    <t>[1064.43, 1307.11]</t>
  </si>
  <si>
    <t>[1267.32, 1634.51]</t>
  </si>
  <si>
    <t>[1955.90, 2748.07]</t>
  </si>
  <si>
    <t>[1818.83, 2302.37]</t>
  </si>
  <si>
    <t>[1867.50, 2303.47]</t>
  </si>
  <si>
    <t>[61.82, 104.10]</t>
  </si>
  <si>
    <t>[53.28, 85.00]</t>
  </si>
  <si>
    <t>March23_TI</t>
  </si>
  <si>
    <t>[0.66, 5.89]</t>
  </si>
  <si>
    <t>[0.52, 4.74]</t>
  </si>
  <si>
    <t>[54.77, 90.31]</t>
  </si>
  <si>
    <t>[63.16, 106.97]</t>
  </si>
  <si>
    <t>[113.38, 216.50]</t>
  </si>
  <si>
    <t>[107.92, 186.08]</t>
  </si>
  <si>
    <t>[30.53, 51.37]</t>
  </si>
  <si>
    <t>[20.20, 37.30]</t>
  </si>
  <si>
    <t>[92.80, 178.38]</t>
  </si>
  <si>
    <t>[190.67, 303.68]</t>
  </si>
  <si>
    <t>[-0.16, 3.67]</t>
  </si>
  <si>
    <t>[1.41, 7.40]</t>
  </si>
  <si>
    <t>[39.37, 70.35]</t>
  </si>
  <si>
    <t>[61.81, 113.29]</t>
  </si>
  <si>
    <t>[117.78, 183.43]</t>
  </si>
  <si>
    <t>[236.71, 352.73]</t>
  </si>
  <si>
    <t>[12.05, 34.03]</t>
  </si>
  <si>
    <t>[22.00, 41.52]</t>
  </si>
  <si>
    <t>[0.56, 13.14]</t>
  </si>
  <si>
    <t>[2.02, 6.02]</t>
  </si>
  <si>
    <t>[13.69, 46.51]</t>
  </si>
  <si>
    <t>[4.99, 15.83]</t>
  </si>
  <si>
    <t>[62.06, 92.08]</t>
  </si>
  <si>
    <t>[35.56, 59.09]</t>
  </si>
  <si>
    <t>[1.18, 4.58]</t>
  </si>
  <si>
    <t>[1.91, 10.06]</t>
  </si>
  <si>
    <t>[11.41, 27.13]</t>
  </si>
  <si>
    <t>[19.02, 33.82]</t>
  </si>
  <si>
    <t>[4.19, 14.48]</t>
  </si>
  <si>
    <t>[10.96, 28.43]</t>
  </si>
  <si>
    <t>[5.26, 12.63]</t>
  </si>
  <si>
    <t>[20.30, 43.86]</t>
  </si>
  <si>
    <t>[8.68, 20.24]</t>
  </si>
  <si>
    <t>[9.47, 24.08]</t>
  </si>
  <si>
    <t>[14.89, 47.31]</t>
  </si>
  <si>
    <t>[80.76, 243.29]</t>
  </si>
  <si>
    <t>[23.96, 68.15]</t>
  </si>
  <si>
    <t>[30.73, 89.17]</t>
  </si>
  <si>
    <t>[4.34, 114.10]</t>
  </si>
  <si>
    <t>[-20.88, 263.48]</t>
  </si>
  <si>
    <t>[2.42, 134.57]</t>
  </si>
  <si>
    <t>[8.60, 138.07]</t>
  </si>
  <si>
    <t>[8.04, 16.72]</t>
  </si>
  <si>
    <t>[8.97, 16.03]</t>
  </si>
  <si>
    <t>[17.69, 36.43]</t>
  </si>
  <si>
    <t>[13.59, 21.56]</t>
  </si>
  <si>
    <t>[221.30, 368.31]</t>
  </si>
  <si>
    <t>[458.38, 642.25]</t>
  </si>
  <si>
    <t>[177.22, 297.73]</t>
  </si>
  <si>
    <t>[191.08, 273.05]</t>
  </si>
  <si>
    <t>[110.39, 173.34]</t>
  </si>
  <si>
    <t>[131.88, 220.61]</t>
  </si>
  <si>
    <t>[29.40, 69.34]</t>
  </si>
  <si>
    <t>[27.04, 46.61]</t>
  </si>
  <si>
    <t>[11.04, 21.47]</t>
  </si>
  <si>
    <t>[5.24, 13.88]</t>
  </si>
  <si>
    <t>[11.38, 23.30]</t>
  </si>
  <si>
    <t>[13.79, 31.72]</t>
  </si>
  <si>
    <t>[73.24, 105.34]</t>
  </si>
  <si>
    <t>[64.98, 99.10]</t>
  </si>
  <si>
    <t>[70.72, 246.90]</t>
  </si>
  <si>
    <t>[142.84, 570.46]</t>
  </si>
  <si>
    <t>[3.03, 10.32]</t>
  </si>
  <si>
    <t>[-0.28, 4.68]</t>
  </si>
  <si>
    <t>[17.53, 37.58]</t>
  </si>
  <si>
    <t>[53.86, 86.86]</t>
  </si>
  <si>
    <t>[13.14, 23.22]</t>
  </si>
  <si>
    <t>[22.27, 42.47]</t>
  </si>
  <si>
    <t>[12.86, 83.22]</t>
  </si>
  <si>
    <t>[15.27, 38.49]</t>
  </si>
  <si>
    <t>[6.00, 12.74]</t>
  </si>
  <si>
    <t>[7.56, 12.87]</t>
  </si>
  <si>
    <t>[14.88, 31.37]</t>
  </si>
  <si>
    <t>[14.00, 37.84]</t>
  </si>
  <si>
    <t>[43.80, 189.75]</t>
  </si>
  <si>
    <t>[323.41, 807.18]</t>
  </si>
  <si>
    <t>[819.11, 1105.60]</t>
  </si>
  <si>
    <t>[1153.99, 1390.89]</t>
  </si>
  <si>
    <t>[1144.32, 1519.76]</t>
  </si>
  <si>
    <t>[1947.36, 2615.09]</t>
  </si>
  <si>
    <t>[1641.05, 2169.62]</t>
  </si>
  <si>
    <t>[1937.89, 2376.78]</t>
  </si>
  <si>
    <t>[84.39, 123.82]</t>
  </si>
  <si>
    <t>[99.24, 146.08]</t>
  </si>
  <si>
    <t>Nov23_TI</t>
  </si>
  <si>
    <t>[2.69, 8.59]</t>
  </si>
  <si>
    <t>[3.55, 9.15]</t>
  </si>
  <si>
    <t>[89.59, 149.57]</t>
  </si>
  <si>
    <t>[84.14, 130.68]</t>
  </si>
  <si>
    <t>[97.01, 154.67]</t>
  </si>
  <si>
    <t>[92.85, 144.67]</t>
  </si>
  <si>
    <t>[44.18, 65.23]</t>
  </si>
  <si>
    <t>[27.01, 40.46]</t>
  </si>
  <si>
    <t>[146.04, 242.48]</t>
  </si>
  <si>
    <t>[190.72, 276.57]</t>
  </si>
  <si>
    <t>[0.43, 3.76]</t>
  </si>
  <si>
    <t>[0.98, 4.60]</t>
  </si>
  <si>
    <t>[50.54, 83.02]</t>
  </si>
  <si>
    <t>[74.72, 114.48]</t>
  </si>
  <si>
    <t>[186.16, 256.24]</t>
  </si>
  <si>
    <t>[377.25, 511.80]</t>
  </si>
  <si>
    <t>[13.19, 27.62]</t>
  </si>
  <si>
    <t>[30.52, 65.27]</t>
  </si>
  <si>
    <t>[4.93, 12.74]</t>
  </si>
  <si>
    <t>[5.93, 11.32]</t>
  </si>
  <si>
    <t>[20.26, 34.81]</t>
  </si>
  <si>
    <t>[22.16, 45.47]</t>
  </si>
  <si>
    <t>[76.06, 111.95]</t>
  </si>
  <si>
    <t>[76.52, 106.63]</t>
  </si>
  <si>
    <t>[1.57, 6.94]</t>
  </si>
  <si>
    <t>[8.92, 20.65]</t>
  </si>
  <si>
    <t>[17.60, 30.14]</t>
  </si>
  <si>
    <t>[17.99, 30.98]</t>
  </si>
  <si>
    <t>[7.30, 17.85]</t>
  </si>
  <si>
    <t>[7.08, 26.85]</t>
  </si>
  <si>
    <t>[14.60, 25.66]</t>
  </si>
  <si>
    <t>[25.43, 53.16]</t>
  </si>
  <si>
    <t>[9.23, 23.44]</t>
  </si>
  <si>
    <t>[21.75, 40.41]</t>
  </si>
  <si>
    <t>[16.68, 37.01]</t>
  </si>
  <si>
    <t>[103.12, 177.37]</t>
  </si>
  <si>
    <t>[53.68, 107.75]</t>
  </si>
  <si>
    <t>[111.18, 222.96]</t>
  </si>
  <si>
    <t>[9.37, 45.06]</t>
  </si>
  <si>
    <t>[50.83, 150.39]</t>
  </si>
  <si>
    <t>[11.49, 36.97]</t>
  </si>
  <si>
    <t>[53.38, 119.79]</t>
  </si>
  <si>
    <t>[19.11, 35.86]</t>
  </si>
  <si>
    <t>[11.09, 16.30]</t>
  </si>
  <si>
    <t>[5.65, 17.41]</t>
  </si>
  <si>
    <t>[12.76, 18.74]</t>
  </si>
  <si>
    <t>[351.87, 500.92]</t>
  </si>
  <si>
    <t>[592.87, 786.29]</t>
  </si>
  <si>
    <t>[200.54, 290.30]</t>
  </si>
  <si>
    <t>[190.36, 261.97]</t>
  </si>
  <si>
    <t>[166.42, 237.99]</t>
  </si>
  <si>
    <t>[236.58, 354.24]</t>
  </si>
  <si>
    <t>[41.20, 61.61]</t>
  </si>
  <si>
    <t>[44.27, 72.33]</t>
  </si>
  <si>
    <t>[21.87, 42.36]</t>
  </si>
  <si>
    <t>[11.00, 25.99]</t>
  </si>
  <si>
    <t>[11.99, 29.19]</t>
  </si>
  <si>
    <t>[31.99, 59.74]</t>
  </si>
  <si>
    <t>[99.13, 140.42]</t>
  </si>
  <si>
    <t>[115.86, 158.58]</t>
  </si>
  <si>
    <t>[56.16, 100.40]</t>
  </si>
  <si>
    <t>[250.43, 404.45]</t>
  </si>
  <si>
    <t>[5.87, 12.44]</t>
  </si>
  <si>
    <t>[28.59, 70.36]</t>
  </si>
  <si>
    <t>[11.02, 22.89]</t>
  </si>
  <si>
    <t>[7.75, 20.52]</t>
  </si>
  <si>
    <t>[14.90, 27.26]</t>
  </si>
  <si>
    <t>[16.90, 34.17]</t>
  </si>
  <si>
    <t>[28.85, 79.25]</t>
  </si>
  <si>
    <t>[30.83, 61.47]</t>
  </si>
  <si>
    <t>[7.33, 14.85]</t>
  </si>
  <si>
    <t>[6.72, 10.53]</t>
  </si>
  <si>
    <t>[10.55, 24.65]</t>
  </si>
  <si>
    <t>[13.87, 32.01]</t>
  </si>
  <si>
    <t>[70.97, 178.79]</t>
  </si>
  <si>
    <t>[191.80, 425.27]</t>
  </si>
  <si>
    <t>[1024.95, 1326.48]</t>
  </si>
  <si>
    <t>[1376.75, 1661.19]</t>
  </si>
  <si>
    <t>[1327.31, 1699.96]</t>
  </si>
  <si>
    <t>[2154.57, 2581.76]</t>
  </si>
  <si>
    <t>[1887.15, 2415.58]</t>
  </si>
  <si>
    <t>[2337.02, 2719.66]</t>
  </si>
  <si>
    <t>[75.01, 118.36]</t>
  </si>
  <si>
    <t>[83.97, 113.35]</t>
  </si>
  <si>
    <t>March24_TI</t>
  </si>
  <si>
    <t>[3.58, 12.28]</t>
  </si>
  <si>
    <t>[3.02, 11.58]</t>
  </si>
  <si>
    <t>[61.66, 99.80]</t>
  </si>
  <si>
    <t>[90.87, 139.35]</t>
  </si>
  <si>
    <t>[65.14, 105.93]</t>
  </si>
  <si>
    <t>[82.77, 144.45]</t>
  </si>
  <si>
    <t>[40.34, 56.04]</t>
  </si>
  <si>
    <t>[24.81, 46.41]</t>
  </si>
  <si>
    <t>[120.24, 181.43]</t>
  </si>
  <si>
    <t>[202.84, 277.21]</t>
  </si>
  <si>
    <t>[1.07, 5.91]</t>
  </si>
  <si>
    <t>[2.01, 6.28]</t>
  </si>
  <si>
    <t>[54.16, 99.36]</t>
  </si>
  <si>
    <t>[73.32, 105.91]</t>
  </si>
  <si>
    <t>[176.26, 236.31]</t>
  </si>
  <si>
    <t>[333.85, 458.55]</t>
  </si>
  <si>
    <t>[13.86, 26.82]</t>
  </si>
  <si>
    <t>[35.06, 61.27]</t>
  </si>
  <si>
    <t>[2.89, 7.97]</t>
  </si>
  <si>
    <t>[4.98, 9.97]</t>
  </si>
  <si>
    <t>[25.25, 51.16]</t>
  </si>
  <si>
    <t>[18.19, 30.27]</t>
  </si>
  <si>
    <t>[55.55, 86.62]</t>
  </si>
  <si>
    <t>[61.42, 86.78]</t>
  </si>
  <si>
    <t>[2.86, 8.55]</t>
  </si>
  <si>
    <t>[6.79, 15.01]</t>
  </si>
  <si>
    <t>[12.34, 23.58]</t>
  </si>
  <si>
    <t>[18.19, 32.53]</t>
  </si>
  <si>
    <t>[8.54, 20.49]</t>
  </si>
  <si>
    <t>[6.00, 21.04]</t>
  </si>
  <si>
    <t>[9.90, 17.65]</t>
  </si>
  <si>
    <t>[18.51, 26.54]</t>
  </si>
  <si>
    <t>[7.76, 19.44]</t>
  </si>
  <si>
    <t>[16.31, 26.58]</t>
  </si>
  <si>
    <t>[14.62, 36.45]</t>
  </si>
  <si>
    <t>[104.21, 180.98]</t>
  </si>
  <si>
    <t>[38.23, 87.18]</t>
  </si>
  <si>
    <t>[99.43, 193.16]</t>
  </si>
  <si>
    <t>[15.86, 51.70]</t>
  </si>
  <si>
    <t>[63.30, 153.98]</t>
  </si>
  <si>
    <t>[5.38, 27.98]</t>
  </si>
  <si>
    <t>[35.28, 96.82]</t>
  </si>
  <si>
    <t>[14.90, 37.15]</t>
  </si>
  <si>
    <t>[8.36, 12.38]</t>
  </si>
  <si>
    <t>[8.04, 16.67]</t>
  </si>
  <si>
    <t>[11.20, 16.52]</t>
  </si>
  <si>
    <t>[315.32, 416.75]</t>
  </si>
  <si>
    <t>[571.20, 724.49]</t>
  </si>
  <si>
    <t>[133.82, 198.71]</t>
  </si>
  <si>
    <t>[186.54, 270.89]</t>
  </si>
  <si>
    <t>[152.76, 222.55]</t>
  </si>
  <si>
    <t>[222.78, 320.27]</t>
  </si>
  <si>
    <t>[41.62, 70.71]</t>
  </si>
  <si>
    <t>[40.52, 58.67]</t>
  </si>
  <si>
    <t>[15.24, 27.20]</t>
  </si>
  <si>
    <t>[8.46, 24.98]</t>
  </si>
  <si>
    <t>[11.65, 26.96]</t>
  </si>
  <si>
    <t>[24.57, 40.11]</t>
  </si>
  <si>
    <t>[74.62, 110.95]</t>
  </si>
  <si>
    <t>[89.77, 118.08]</t>
  </si>
  <si>
    <t>[51.69, 100.31]</t>
  </si>
  <si>
    <t>[247.49, 387.08]</t>
  </si>
  <si>
    <t>[4.22, 12.08]</t>
  </si>
  <si>
    <t>[14.95, 40.52]</t>
  </si>
  <si>
    <t>[6.20, 16.78]</t>
  </si>
  <si>
    <t>[5.66, 23.79]</t>
  </si>
  <si>
    <t>[10.66, 19.52]</t>
  </si>
  <si>
    <t>[12.95, 31.86]</t>
  </si>
  <si>
    <t>[12.76, 30.57]</t>
  </si>
  <si>
    <t>[32.13, 52.60]</t>
  </si>
  <si>
    <t>[9.02, 18.38]</t>
  </si>
  <si>
    <t>[7.64, 11.41]</t>
  </si>
  <si>
    <t>[15.60, 38.09]</t>
  </si>
  <si>
    <t>[10.82, 21.76]</t>
  </si>
  <si>
    <t>[57.88, 193.69]</t>
  </si>
  <si>
    <t>[205.32, 423.07]</t>
  </si>
  <si>
    <t>[880.71, 1131.81]</t>
  </si>
  <si>
    <t>[1261.26, 1500.67]</t>
  </si>
  <si>
    <t>[1122.47, 1462.34]</t>
  </si>
  <si>
    <t>[2014.60, 2387.61]</t>
  </si>
  <si>
    <t>[1591.07, 2095.59]</t>
  </si>
  <si>
    <t>[2041.67, 2371.80]</t>
  </si>
  <si>
    <t>[37.25, 72.00]</t>
  </si>
  <si>
    <t>[91.96, 145.24]</t>
  </si>
  <si>
    <t>Nov22 (CSGA)</t>
  </si>
  <si>
    <t>[1.28, 6.67]</t>
  </si>
  <si>
    <t>[4.10, 13.06]</t>
  </si>
  <si>
    <t>[54.20, 82.40]</t>
  </si>
  <si>
    <t>[44.53, 78.87]</t>
  </si>
  <si>
    <t>[90.28, 139.82]</t>
  </si>
  <si>
    <t>[137.16, 209.42]</t>
  </si>
  <si>
    <t>[20.83, 43.51]</t>
  </si>
  <si>
    <t>[17.50, 35.09]</t>
  </si>
  <si>
    <t>[50.68, 101.20]</t>
  </si>
  <si>
    <t>[107.91, 192.85]</t>
  </si>
  <si>
    <t>[-0.74, 3.42]</t>
  </si>
  <si>
    <t>[0.48, 5.41]</t>
  </si>
  <si>
    <t>[31.39, 66.45]</t>
  </si>
  <si>
    <t>[35.24, 72.27]</t>
  </si>
  <si>
    <t>[98.43, 150.70]</t>
  </si>
  <si>
    <t>[176.35, 268.37]</t>
  </si>
  <si>
    <t>[9.50, 21.52]</t>
  </si>
  <si>
    <t>[14.21, 34.71]</t>
  </si>
  <si>
    <t>[0.09, 7.62]</t>
  </si>
  <si>
    <t>[1.31, 4.36]</t>
  </si>
  <si>
    <t>[0.16, 1.11]</t>
  </si>
  <si>
    <t>[27.57, 56.12]</t>
  </si>
  <si>
    <t>[51.03, 86.23]</t>
  </si>
  <si>
    <t>[50.67, 74.61]</t>
  </si>
  <si>
    <t>[0.28, 2.67]</t>
  </si>
  <si>
    <t>[5.18, 14.58]</t>
  </si>
  <si>
    <t>[9.90, 23.66]</t>
  </si>
  <si>
    <t>[18.50, 36.37]</t>
  </si>
  <si>
    <t>[15.43, 31.10]</t>
  </si>
  <si>
    <t>[10.37, 22.36]</t>
  </si>
  <si>
    <t>[17.44, 34.23]</t>
  </si>
  <si>
    <t>[24.92, 52.01]</t>
  </si>
  <si>
    <t>[10.26, 25.96]</t>
  </si>
  <si>
    <t>[19.89, 39.91]</t>
  </si>
  <si>
    <t>[14.89, 39.94]</t>
  </si>
  <si>
    <t>[5.60, 254.68]</t>
  </si>
  <si>
    <t>[22.05, 69.38]</t>
  </si>
  <si>
    <t>[21.28, 151.37]</t>
  </si>
  <si>
    <t>Intensely. The two correlation coefficients are &gt;= 0.6 and the averages are not significantly different</t>
  </si>
  <si>
    <t>[6.15, 30.65]</t>
  </si>
  <si>
    <t>[3.29, 113.78]</t>
  </si>
  <si>
    <t>[17.91, 71.10]</t>
  </si>
  <si>
    <t>[13.91, 46.68]</t>
  </si>
  <si>
    <t>[10.80, 26.50]</t>
  </si>
  <si>
    <t>[7.28, 14.63]</t>
  </si>
  <si>
    <t>[160.83, 250.57]</t>
  </si>
  <si>
    <t>[302.25, 454.78]</t>
  </si>
  <si>
    <t>[151.85, 214.84]</t>
  </si>
  <si>
    <t>[185.58, 284.40]</t>
  </si>
  <si>
    <t>[91.67, 161.94]</t>
  </si>
  <si>
    <t>[95.82, 236.93]</t>
  </si>
  <si>
    <t>[10.55, 24.28]</t>
  </si>
  <si>
    <t>[51.65, 86.90]</t>
  </si>
  <si>
    <t>[10.23, 25.02]</t>
  </si>
  <si>
    <t>[5.20, 13.89]</t>
  </si>
  <si>
    <t>[11.65, 27.51]</t>
  </si>
  <si>
    <t>[26.37, 53.19]</t>
  </si>
  <si>
    <t>[76.68, 120.19]</t>
  </si>
  <si>
    <t>[90.61, 128.75]</t>
  </si>
  <si>
    <t>[53.30, 127.34]</t>
  </si>
  <si>
    <t>[78.83, 359.12]</t>
  </si>
  <si>
    <t>[12.84, 29.10]</t>
  </si>
  <si>
    <t>[41.56, 78.11]</t>
  </si>
  <si>
    <t>[8.44, 17.29]</t>
  </si>
  <si>
    <t>[11.30, 32.06]</t>
  </si>
  <si>
    <t>[11.41, 51.19]</t>
  </si>
  <si>
    <t>[18.27, 41.34]</t>
  </si>
  <si>
    <t>[8.39, 21.95]</t>
  </si>
  <si>
    <t>[5.05, 8.65]</t>
  </si>
  <si>
    <t>[3.49, 11.26]</t>
  </si>
  <si>
    <t>[4.22, 22.38]</t>
  </si>
  <si>
    <t>[-0.67, 54.39]</t>
  </si>
  <si>
    <t>[168.95, 683.61]</t>
  </si>
  <si>
    <t>[630.98, 827.89]</t>
  </si>
  <si>
    <t>[943.29, 1207.29]</t>
  </si>
  <si>
    <t>[1216.55, 1624.48]</t>
  </si>
  <si>
    <t>[1521.51, 1875.15]</t>
  </si>
  <si>
    <t>Surest FFQ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</si>
</sst>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"/>
  <sheetViews>
    <sheetView workbookViewId="0">
      <selection activeCell="I1" sqref="I1:I1048576"/>
    </sheetView>
  </sheetViews>
  <sheetFormatPr baseColWidth="10" defaultRowHeight="14.5" x14ac:dyDescent="0.35"/>
  <cols>
    <col min="18" max="18" width="12.81640625" customWidth="1"/>
    <col min="20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632</v>
      </c>
    </row>
    <row r="2" spans="1:20" x14ac:dyDescent="0.35">
      <c r="A2" t="s">
        <v>19</v>
      </c>
      <c r="B2">
        <v>100</v>
      </c>
      <c r="C2" t="s">
        <v>20</v>
      </c>
      <c r="D2">
        <v>120</v>
      </c>
      <c r="E2" t="s">
        <v>21</v>
      </c>
      <c r="F2">
        <v>20</v>
      </c>
      <c r="G2">
        <v>18</v>
      </c>
      <c r="H2">
        <v>0.52</v>
      </c>
      <c r="I2">
        <v>8.7999999999999995E-2</v>
      </c>
      <c r="J2">
        <v>0.67</v>
      </c>
      <c r="K2">
        <v>0.12</v>
      </c>
      <c r="L2">
        <v>0.54</v>
      </c>
      <c r="M2">
        <v>0.18</v>
      </c>
      <c r="N2">
        <v>0.38</v>
      </c>
      <c r="O2">
        <v>38</v>
      </c>
      <c r="P2">
        <v>46</v>
      </c>
      <c r="Q2">
        <v>15</v>
      </c>
      <c r="R2" t="s">
        <v>22</v>
      </c>
      <c r="S2" t="s">
        <v>23</v>
      </c>
      <c r="T2" s="2">
        <f>(D2-B2)/B2</f>
        <v>0.2</v>
      </c>
    </row>
    <row r="3" spans="1:20" x14ac:dyDescent="0.35">
      <c r="A3" t="s">
        <v>24</v>
      </c>
      <c r="B3">
        <v>1.5</v>
      </c>
      <c r="C3" t="s">
        <v>25</v>
      </c>
      <c r="D3">
        <v>1.2</v>
      </c>
      <c r="E3" t="s">
        <v>26</v>
      </c>
      <c r="F3">
        <v>-0.3</v>
      </c>
      <c r="G3">
        <v>-17</v>
      </c>
      <c r="H3">
        <v>0.83</v>
      </c>
      <c r="I3">
        <v>-2.1000000000000001E-2</v>
      </c>
      <c r="J3">
        <v>0.92</v>
      </c>
      <c r="K3">
        <v>2.8999999999999998E-3</v>
      </c>
      <c r="L3">
        <v>0.99</v>
      </c>
      <c r="M3">
        <v>0.15</v>
      </c>
      <c r="N3">
        <v>0.45</v>
      </c>
      <c r="O3">
        <v>65</v>
      </c>
      <c r="P3">
        <v>31</v>
      </c>
      <c r="Q3">
        <v>3.8</v>
      </c>
      <c r="R3" t="s">
        <v>22</v>
      </c>
      <c r="S3" t="s">
        <v>23</v>
      </c>
      <c r="T3" s="2">
        <f t="shared" ref="T3:T44" si="0">(D3-B3)/B3</f>
        <v>-0.20000000000000004</v>
      </c>
    </row>
    <row r="4" spans="1:20" x14ac:dyDescent="0.35">
      <c r="A4" t="s">
        <v>27</v>
      </c>
      <c r="B4">
        <v>47</v>
      </c>
      <c r="C4" t="s">
        <v>28</v>
      </c>
      <c r="D4">
        <v>120</v>
      </c>
      <c r="E4" t="s">
        <v>29</v>
      </c>
      <c r="F4">
        <v>73</v>
      </c>
      <c r="G4">
        <v>160</v>
      </c>
      <c r="H4">
        <v>5.8999999999999999E-3</v>
      </c>
      <c r="I4">
        <v>-1.2999999999999999E-2</v>
      </c>
      <c r="J4">
        <v>0.95</v>
      </c>
      <c r="K4">
        <v>-3.1E-2</v>
      </c>
      <c r="L4">
        <v>0.88</v>
      </c>
      <c r="M4">
        <v>0.14000000000000001</v>
      </c>
      <c r="N4">
        <v>0.5</v>
      </c>
      <c r="O4">
        <v>23</v>
      </c>
      <c r="P4">
        <v>58</v>
      </c>
      <c r="Q4">
        <v>19</v>
      </c>
      <c r="R4" t="s">
        <v>22</v>
      </c>
      <c r="S4" t="s">
        <v>23</v>
      </c>
      <c r="T4" s="2">
        <f t="shared" si="0"/>
        <v>1.553191489361702</v>
      </c>
    </row>
    <row r="5" spans="1:20" x14ac:dyDescent="0.35">
      <c r="A5" t="s">
        <v>30</v>
      </c>
      <c r="B5">
        <v>120</v>
      </c>
      <c r="C5" t="s">
        <v>31</v>
      </c>
      <c r="D5">
        <v>180</v>
      </c>
      <c r="E5" t="s">
        <v>32</v>
      </c>
      <c r="F5">
        <v>60</v>
      </c>
      <c r="G5">
        <v>51</v>
      </c>
      <c r="H5">
        <v>5.6000000000000001E-2</v>
      </c>
      <c r="I5">
        <v>-6.4000000000000001E-2</v>
      </c>
      <c r="J5">
        <v>0.76</v>
      </c>
      <c r="K5">
        <v>-4.8000000000000001E-2</v>
      </c>
      <c r="L5">
        <v>0.82</v>
      </c>
      <c r="M5">
        <v>2.7E-2</v>
      </c>
      <c r="N5">
        <v>0.89</v>
      </c>
      <c r="O5">
        <v>23</v>
      </c>
      <c r="P5">
        <v>58</v>
      </c>
      <c r="Q5">
        <v>19</v>
      </c>
      <c r="R5" t="s">
        <v>22</v>
      </c>
      <c r="S5" t="s">
        <v>23</v>
      </c>
      <c r="T5" s="2">
        <f t="shared" si="0"/>
        <v>0.5</v>
      </c>
    </row>
    <row r="6" spans="1:20" x14ac:dyDescent="0.35">
      <c r="A6" t="s">
        <v>33</v>
      </c>
      <c r="B6">
        <v>44</v>
      </c>
      <c r="C6" t="s">
        <v>34</v>
      </c>
      <c r="D6">
        <v>59</v>
      </c>
      <c r="E6" t="s">
        <v>35</v>
      </c>
      <c r="F6">
        <v>15</v>
      </c>
      <c r="G6">
        <v>34</v>
      </c>
      <c r="H6">
        <v>0.25</v>
      </c>
      <c r="I6">
        <v>0.32</v>
      </c>
      <c r="J6">
        <v>0.12</v>
      </c>
      <c r="K6">
        <v>0.23</v>
      </c>
      <c r="L6">
        <v>0.26</v>
      </c>
      <c r="M6">
        <v>0.47</v>
      </c>
      <c r="N6">
        <v>1.6E-2</v>
      </c>
      <c r="O6">
        <v>23</v>
      </c>
      <c r="P6">
        <v>65</v>
      </c>
      <c r="Q6">
        <v>12</v>
      </c>
      <c r="R6" t="s">
        <v>36</v>
      </c>
      <c r="S6" t="s">
        <v>23</v>
      </c>
      <c r="T6" s="2">
        <f t="shared" si="0"/>
        <v>0.34090909090909088</v>
      </c>
    </row>
    <row r="7" spans="1:20" x14ac:dyDescent="0.35">
      <c r="A7" t="s">
        <v>37</v>
      </c>
      <c r="B7">
        <v>220</v>
      </c>
      <c r="C7" t="s">
        <v>38</v>
      </c>
      <c r="D7">
        <v>91</v>
      </c>
      <c r="E7" t="s">
        <v>39</v>
      </c>
      <c r="F7">
        <v>-129</v>
      </c>
      <c r="G7">
        <v>-58</v>
      </c>
      <c r="H7">
        <v>3.3000000000000002E-2</v>
      </c>
      <c r="I7">
        <v>0.46</v>
      </c>
      <c r="J7">
        <v>1.7000000000000001E-2</v>
      </c>
      <c r="K7">
        <v>0.51</v>
      </c>
      <c r="L7">
        <v>8.3999999999999995E-3</v>
      </c>
      <c r="M7">
        <v>0.34</v>
      </c>
      <c r="N7">
        <v>8.5000000000000006E-2</v>
      </c>
      <c r="O7">
        <v>35</v>
      </c>
      <c r="P7">
        <v>50</v>
      </c>
      <c r="Q7">
        <v>15</v>
      </c>
      <c r="R7" t="s">
        <v>40</v>
      </c>
      <c r="S7" t="s">
        <v>23</v>
      </c>
      <c r="T7" s="2">
        <f t="shared" si="0"/>
        <v>-0.58636363636363631</v>
      </c>
    </row>
    <row r="8" spans="1:20" x14ac:dyDescent="0.35">
      <c r="A8" t="s">
        <v>41</v>
      </c>
      <c r="B8">
        <v>6.3</v>
      </c>
      <c r="C8" t="s">
        <v>42</v>
      </c>
      <c r="D8">
        <v>6.3</v>
      </c>
      <c r="E8" t="s">
        <v>43</v>
      </c>
      <c r="F8">
        <v>0</v>
      </c>
      <c r="G8">
        <v>-0.26</v>
      </c>
      <c r="H8">
        <v>1</v>
      </c>
      <c r="I8">
        <v>-0.11</v>
      </c>
      <c r="J8">
        <v>0.57999999999999996</v>
      </c>
      <c r="K8">
        <v>-0.11</v>
      </c>
      <c r="L8">
        <v>0.57999999999999996</v>
      </c>
      <c r="M8">
        <v>-7.1000000000000004E-3</v>
      </c>
      <c r="N8">
        <v>0.97</v>
      </c>
      <c r="O8">
        <v>31</v>
      </c>
      <c r="P8">
        <v>46</v>
      </c>
      <c r="Q8">
        <v>23</v>
      </c>
      <c r="R8" t="s">
        <v>22</v>
      </c>
      <c r="S8" t="s">
        <v>23</v>
      </c>
      <c r="T8" s="2">
        <f t="shared" si="0"/>
        <v>0</v>
      </c>
    </row>
    <row r="9" spans="1:20" x14ac:dyDescent="0.35">
      <c r="A9" t="s">
        <v>44</v>
      </c>
      <c r="B9">
        <v>96</v>
      </c>
      <c r="C9" t="s">
        <v>45</v>
      </c>
      <c r="D9">
        <v>15</v>
      </c>
      <c r="E9" t="s">
        <v>46</v>
      </c>
      <c r="F9">
        <v>-81</v>
      </c>
      <c r="G9">
        <v>-84</v>
      </c>
      <c r="H9">
        <v>5.1999999999999995E-4</v>
      </c>
      <c r="I9">
        <v>0.39</v>
      </c>
      <c r="J9">
        <v>4.7E-2</v>
      </c>
      <c r="K9">
        <v>0.43</v>
      </c>
      <c r="L9">
        <v>2.7E-2</v>
      </c>
      <c r="M9">
        <v>0.38</v>
      </c>
      <c r="N9">
        <v>5.6000000000000001E-2</v>
      </c>
      <c r="O9">
        <v>38</v>
      </c>
      <c r="P9">
        <v>46</v>
      </c>
      <c r="Q9">
        <v>15</v>
      </c>
      <c r="R9" t="s">
        <v>40</v>
      </c>
      <c r="S9" t="s">
        <v>23</v>
      </c>
      <c r="T9" s="2">
        <f t="shared" si="0"/>
        <v>-0.84375</v>
      </c>
    </row>
    <row r="10" spans="1:20" x14ac:dyDescent="0.35">
      <c r="A10" t="s">
        <v>47</v>
      </c>
      <c r="B10">
        <v>200</v>
      </c>
      <c r="C10" t="s">
        <v>48</v>
      </c>
      <c r="D10">
        <v>110</v>
      </c>
      <c r="E10" t="s">
        <v>49</v>
      </c>
      <c r="F10">
        <v>-90</v>
      </c>
      <c r="G10">
        <v>-47</v>
      </c>
      <c r="H10">
        <v>6.7000000000000002E-3</v>
      </c>
      <c r="I10">
        <v>-0.14000000000000001</v>
      </c>
      <c r="J10">
        <v>0.49</v>
      </c>
      <c r="K10">
        <v>-0.14000000000000001</v>
      </c>
      <c r="L10">
        <v>0.48</v>
      </c>
      <c r="M10">
        <v>-4.9000000000000002E-2</v>
      </c>
      <c r="N10">
        <v>0.81</v>
      </c>
      <c r="O10">
        <v>12</v>
      </c>
      <c r="P10">
        <v>65</v>
      </c>
      <c r="Q10">
        <v>23</v>
      </c>
      <c r="R10" t="s">
        <v>22</v>
      </c>
      <c r="S10" t="s">
        <v>23</v>
      </c>
      <c r="T10" s="2">
        <f t="shared" si="0"/>
        <v>-0.45</v>
      </c>
    </row>
    <row r="11" spans="1:20" x14ac:dyDescent="0.35">
      <c r="A11" t="s">
        <v>50</v>
      </c>
      <c r="B11">
        <v>28</v>
      </c>
      <c r="C11" t="s">
        <v>51</v>
      </c>
      <c r="D11">
        <v>56</v>
      </c>
      <c r="E11" t="s">
        <v>52</v>
      </c>
      <c r="F11">
        <v>28</v>
      </c>
      <c r="G11">
        <v>100</v>
      </c>
      <c r="H11">
        <v>0.11</v>
      </c>
      <c r="I11">
        <v>0.25</v>
      </c>
      <c r="J11">
        <v>0.22</v>
      </c>
      <c r="K11">
        <v>0.25</v>
      </c>
      <c r="L11">
        <v>0.22</v>
      </c>
      <c r="M11">
        <v>0.28999999999999998</v>
      </c>
      <c r="N11">
        <v>0.15</v>
      </c>
      <c r="O11">
        <v>42</v>
      </c>
      <c r="P11">
        <v>35</v>
      </c>
      <c r="Q11">
        <v>23</v>
      </c>
      <c r="R11" t="s">
        <v>22</v>
      </c>
      <c r="S11" t="s">
        <v>23</v>
      </c>
      <c r="T11" s="2">
        <f t="shared" si="0"/>
        <v>1</v>
      </c>
    </row>
    <row r="12" spans="1:20" x14ac:dyDescent="0.35">
      <c r="A12" t="s">
        <v>53</v>
      </c>
      <c r="B12">
        <v>7</v>
      </c>
      <c r="C12" t="s">
        <v>54</v>
      </c>
      <c r="D12">
        <v>2.9</v>
      </c>
      <c r="E12" t="s">
        <v>55</v>
      </c>
      <c r="F12">
        <v>-4.0999999999999996</v>
      </c>
      <c r="G12">
        <v>-59</v>
      </c>
      <c r="H12">
        <v>0.38</v>
      </c>
      <c r="I12">
        <v>0.23</v>
      </c>
      <c r="J12">
        <v>0.27</v>
      </c>
      <c r="K12">
        <v>0.19</v>
      </c>
      <c r="L12">
        <v>0.36</v>
      </c>
      <c r="M12">
        <v>0.51</v>
      </c>
      <c r="N12">
        <v>8.0999999999999996E-3</v>
      </c>
      <c r="O12">
        <v>46</v>
      </c>
      <c r="P12">
        <v>42</v>
      </c>
      <c r="Q12">
        <v>12</v>
      </c>
      <c r="R12" t="s">
        <v>36</v>
      </c>
      <c r="S12" t="s">
        <v>23</v>
      </c>
      <c r="T12" s="2">
        <f t="shared" si="0"/>
        <v>-0.58571428571428563</v>
      </c>
    </row>
    <row r="13" spans="1:20" x14ac:dyDescent="0.35">
      <c r="A13" t="s">
        <v>56</v>
      </c>
      <c r="B13">
        <v>18</v>
      </c>
      <c r="C13" t="s">
        <v>57</v>
      </c>
      <c r="D13">
        <v>39</v>
      </c>
      <c r="E13" t="s">
        <v>58</v>
      </c>
      <c r="F13">
        <v>21</v>
      </c>
      <c r="G13">
        <v>120</v>
      </c>
      <c r="H13">
        <v>3.9E-2</v>
      </c>
      <c r="I13">
        <v>0.3</v>
      </c>
      <c r="J13">
        <v>0.14000000000000001</v>
      </c>
      <c r="K13">
        <v>0.26</v>
      </c>
      <c r="L13">
        <v>0.2</v>
      </c>
      <c r="M13">
        <v>0.32</v>
      </c>
      <c r="N13">
        <v>0.11</v>
      </c>
      <c r="O13">
        <v>31</v>
      </c>
      <c r="P13">
        <v>58</v>
      </c>
      <c r="Q13">
        <v>12</v>
      </c>
      <c r="R13" t="s">
        <v>22</v>
      </c>
      <c r="S13" t="s">
        <v>23</v>
      </c>
      <c r="T13" s="2">
        <f t="shared" si="0"/>
        <v>1.1666666666666667</v>
      </c>
    </row>
    <row r="14" spans="1:20" x14ac:dyDescent="0.35">
      <c r="A14" t="s">
        <v>59</v>
      </c>
      <c r="B14">
        <v>120</v>
      </c>
      <c r="C14" t="s">
        <v>60</v>
      </c>
      <c r="D14">
        <v>52</v>
      </c>
      <c r="E14" t="s">
        <v>61</v>
      </c>
      <c r="F14">
        <v>-68</v>
      </c>
      <c r="G14">
        <v>-56</v>
      </c>
      <c r="H14">
        <v>3.7000000000000002E-3</v>
      </c>
      <c r="I14">
        <v>2.4E-2</v>
      </c>
      <c r="J14">
        <v>0.91</v>
      </c>
      <c r="K14">
        <v>8.5999999999999993E-2</v>
      </c>
      <c r="L14">
        <v>0.68</v>
      </c>
      <c r="M14">
        <v>-2.5000000000000001E-2</v>
      </c>
      <c r="N14">
        <v>0.9</v>
      </c>
      <c r="O14">
        <v>19</v>
      </c>
      <c r="P14">
        <v>62</v>
      </c>
      <c r="Q14">
        <v>19</v>
      </c>
      <c r="R14" t="s">
        <v>22</v>
      </c>
      <c r="S14" t="s">
        <v>23</v>
      </c>
      <c r="T14" s="2">
        <f t="shared" si="0"/>
        <v>-0.56666666666666665</v>
      </c>
    </row>
    <row r="15" spans="1:20" x14ac:dyDescent="0.35">
      <c r="A15" t="s">
        <v>62</v>
      </c>
      <c r="B15">
        <v>1.2</v>
      </c>
      <c r="C15" t="s">
        <v>63</v>
      </c>
      <c r="D15">
        <v>9.9</v>
      </c>
      <c r="E15" t="s">
        <v>64</v>
      </c>
      <c r="F15">
        <v>8.6999999999999993</v>
      </c>
      <c r="G15">
        <v>700</v>
      </c>
      <c r="H15">
        <v>3.9E-2</v>
      </c>
      <c r="I15">
        <v>-0.14000000000000001</v>
      </c>
      <c r="J15">
        <v>0.48</v>
      </c>
      <c r="K15">
        <v>-0.14000000000000001</v>
      </c>
      <c r="L15">
        <v>0.5</v>
      </c>
      <c r="M15">
        <v>-0.16</v>
      </c>
      <c r="N15">
        <v>0.44</v>
      </c>
      <c r="O15">
        <v>31</v>
      </c>
      <c r="P15">
        <v>54</v>
      </c>
      <c r="Q15">
        <v>15</v>
      </c>
      <c r="R15" t="s">
        <v>22</v>
      </c>
      <c r="S15" t="s">
        <v>23</v>
      </c>
      <c r="T15" s="2">
        <f t="shared" si="0"/>
        <v>7.2500000000000009</v>
      </c>
    </row>
    <row r="16" spans="1:20" x14ac:dyDescent="0.35">
      <c r="A16" t="s">
        <v>65</v>
      </c>
      <c r="B16">
        <v>31</v>
      </c>
      <c r="C16" t="s">
        <v>66</v>
      </c>
      <c r="D16">
        <v>35</v>
      </c>
      <c r="E16" t="s">
        <v>67</v>
      </c>
      <c r="F16">
        <v>4</v>
      </c>
      <c r="G16">
        <v>10</v>
      </c>
      <c r="H16">
        <v>0.79</v>
      </c>
      <c r="I16">
        <v>0.26</v>
      </c>
      <c r="J16">
        <v>0.2</v>
      </c>
      <c r="K16">
        <v>0.35</v>
      </c>
      <c r="L16">
        <v>8.3000000000000004E-2</v>
      </c>
      <c r="M16">
        <v>0.2</v>
      </c>
      <c r="N16">
        <v>0.32</v>
      </c>
      <c r="O16">
        <v>42</v>
      </c>
      <c r="P16">
        <v>42</v>
      </c>
      <c r="Q16">
        <v>15</v>
      </c>
      <c r="R16" t="s">
        <v>22</v>
      </c>
      <c r="S16" t="s">
        <v>23</v>
      </c>
      <c r="T16" s="2">
        <f t="shared" si="0"/>
        <v>0.12903225806451613</v>
      </c>
    </row>
    <row r="17" spans="1:20" x14ac:dyDescent="0.35">
      <c r="A17" t="s">
        <v>68</v>
      </c>
      <c r="B17">
        <v>10</v>
      </c>
      <c r="C17" t="s">
        <v>69</v>
      </c>
      <c r="D17">
        <v>22</v>
      </c>
      <c r="E17" t="s">
        <v>70</v>
      </c>
      <c r="F17">
        <v>12</v>
      </c>
      <c r="G17">
        <v>120</v>
      </c>
      <c r="H17">
        <v>0.2</v>
      </c>
      <c r="I17">
        <v>0.46</v>
      </c>
      <c r="J17">
        <v>1.7999999999999999E-2</v>
      </c>
      <c r="K17">
        <v>0.44</v>
      </c>
      <c r="L17">
        <v>2.3E-2</v>
      </c>
      <c r="M17">
        <v>1.4E-2</v>
      </c>
      <c r="N17">
        <v>0.94</v>
      </c>
      <c r="O17">
        <v>35</v>
      </c>
      <c r="P17">
        <v>38</v>
      </c>
      <c r="Q17">
        <v>27</v>
      </c>
      <c r="R17" t="s">
        <v>36</v>
      </c>
      <c r="S17" t="s">
        <v>23</v>
      </c>
      <c r="T17" s="2">
        <f t="shared" si="0"/>
        <v>1.2</v>
      </c>
    </row>
    <row r="18" spans="1:20" x14ac:dyDescent="0.35">
      <c r="A18" t="s">
        <v>71</v>
      </c>
      <c r="B18">
        <v>12</v>
      </c>
      <c r="C18" t="s">
        <v>72</v>
      </c>
      <c r="D18">
        <v>0.56999999999999995</v>
      </c>
      <c r="E18" t="s">
        <v>73</v>
      </c>
      <c r="F18">
        <v>-11.43</v>
      </c>
      <c r="G18">
        <v>-95</v>
      </c>
      <c r="H18">
        <v>3.4000000000000002E-4</v>
      </c>
      <c r="I18">
        <v>1.2E-2</v>
      </c>
      <c r="J18">
        <v>0.95</v>
      </c>
      <c r="K18">
        <v>-5.0000000000000001E-3</v>
      </c>
      <c r="L18">
        <v>0.98</v>
      </c>
      <c r="M18">
        <v>5.5999999999999999E-3</v>
      </c>
      <c r="N18">
        <v>0.98</v>
      </c>
      <c r="O18">
        <v>19</v>
      </c>
      <c r="P18">
        <v>54</v>
      </c>
      <c r="Q18">
        <v>27</v>
      </c>
      <c r="R18" t="s">
        <v>22</v>
      </c>
      <c r="S18" t="s">
        <v>23</v>
      </c>
      <c r="T18" s="2">
        <f t="shared" si="0"/>
        <v>-0.95250000000000001</v>
      </c>
    </row>
    <row r="19" spans="1:20" x14ac:dyDescent="0.35">
      <c r="A19" t="s">
        <v>74</v>
      </c>
      <c r="B19">
        <v>20</v>
      </c>
      <c r="C19" t="s">
        <v>75</v>
      </c>
      <c r="D19">
        <v>15</v>
      </c>
      <c r="E19" t="s">
        <v>76</v>
      </c>
      <c r="F19">
        <v>-5</v>
      </c>
      <c r="G19">
        <v>-28</v>
      </c>
      <c r="H19">
        <v>0.35</v>
      </c>
      <c r="I19">
        <v>0.17</v>
      </c>
      <c r="J19">
        <v>0.41</v>
      </c>
      <c r="K19">
        <v>0.17</v>
      </c>
      <c r="L19">
        <v>0.4</v>
      </c>
      <c r="M19">
        <v>0.22</v>
      </c>
      <c r="N19">
        <v>0.28000000000000003</v>
      </c>
      <c r="O19">
        <v>27</v>
      </c>
      <c r="P19">
        <v>54</v>
      </c>
      <c r="Q19">
        <v>19</v>
      </c>
      <c r="R19" t="s">
        <v>22</v>
      </c>
      <c r="S19" t="s">
        <v>23</v>
      </c>
      <c r="T19" s="2">
        <f t="shared" si="0"/>
        <v>-0.25</v>
      </c>
    </row>
    <row r="20" spans="1:20" x14ac:dyDescent="0.35">
      <c r="A20" t="s">
        <v>77</v>
      </c>
      <c r="B20">
        <v>40</v>
      </c>
      <c r="C20" t="s">
        <v>78</v>
      </c>
      <c r="D20">
        <v>97</v>
      </c>
      <c r="E20" t="s">
        <v>79</v>
      </c>
      <c r="F20">
        <v>57</v>
      </c>
      <c r="G20">
        <v>140</v>
      </c>
      <c r="H20">
        <v>0.19</v>
      </c>
      <c r="I20">
        <v>0.65</v>
      </c>
      <c r="J20">
        <v>3.5E-4</v>
      </c>
      <c r="K20">
        <v>0.72</v>
      </c>
      <c r="L20">
        <v>3.0000000000000001E-5</v>
      </c>
      <c r="M20">
        <v>0.43</v>
      </c>
      <c r="N20">
        <v>2.7E-2</v>
      </c>
      <c r="O20">
        <v>50</v>
      </c>
      <c r="P20">
        <v>31</v>
      </c>
      <c r="Q20">
        <v>19</v>
      </c>
      <c r="R20" t="s">
        <v>80</v>
      </c>
      <c r="S20" t="s">
        <v>23</v>
      </c>
      <c r="T20" s="2">
        <f t="shared" si="0"/>
        <v>1.425</v>
      </c>
    </row>
    <row r="21" spans="1:20" x14ac:dyDescent="0.35">
      <c r="A21" t="s">
        <v>81</v>
      </c>
      <c r="B21">
        <v>96</v>
      </c>
      <c r="C21" t="s">
        <v>82</v>
      </c>
      <c r="D21">
        <v>190</v>
      </c>
      <c r="E21" t="s">
        <v>83</v>
      </c>
      <c r="F21">
        <v>94</v>
      </c>
      <c r="G21">
        <v>98</v>
      </c>
      <c r="H21">
        <v>0.17</v>
      </c>
      <c r="I21">
        <v>0.43</v>
      </c>
      <c r="J21">
        <v>2.8000000000000001E-2</v>
      </c>
      <c r="K21">
        <v>0.5</v>
      </c>
      <c r="L21">
        <v>9.7999999999999997E-3</v>
      </c>
      <c r="M21">
        <v>2.1000000000000001E-2</v>
      </c>
      <c r="N21">
        <v>0.92</v>
      </c>
      <c r="O21">
        <v>23</v>
      </c>
      <c r="P21">
        <v>46</v>
      </c>
      <c r="Q21">
        <v>31</v>
      </c>
      <c r="R21" t="s">
        <v>36</v>
      </c>
      <c r="S21" t="s">
        <v>23</v>
      </c>
      <c r="T21" s="2">
        <f t="shared" si="0"/>
        <v>0.97916666666666663</v>
      </c>
    </row>
    <row r="22" spans="1:20" x14ac:dyDescent="0.35">
      <c r="A22" t="s">
        <v>84</v>
      </c>
      <c r="B22">
        <v>13</v>
      </c>
      <c r="C22" t="s">
        <v>85</v>
      </c>
      <c r="D22">
        <v>0</v>
      </c>
      <c r="E22" t="s">
        <v>86</v>
      </c>
      <c r="F22">
        <v>-13</v>
      </c>
      <c r="G22">
        <v>-100</v>
      </c>
      <c r="H22">
        <v>3.3000000000000002E-2</v>
      </c>
      <c r="O22">
        <v>27</v>
      </c>
      <c r="P22">
        <v>58</v>
      </c>
      <c r="Q22">
        <v>15</v>
      </c>
      <c r="R22" t="s">
        <v>87</v>
      </c>
      <c r="S22" t="s">
        <v>23</v>
      </c>
      <c r="T22" s="2">
        <f t="shared" si="0"/>
        <v>-1</v>
      </c>
    </row>
    <row r="23" spans="1:20" x14ac:dyDescent="0.35">
      <c r="A23" t="s">
        <v>88</v>
      </c>
      <c r="B23">
        <v>27</v>
      </c>
      <c r="C23" t="s">
        <v>89</v>
      </c>
      <c r="D23">
        <v>40</v>
      </c>
      <c r="E23" t="s">
        <v>90</v>
      </c>
      <c r="F23">
        <v>13</v>
      </c>
      <c r="G23">
        <v>44</v>
      </c>
      <c r="H23">
        <v>0.72</v>
      </c>
      <c r="I23">
        <v>4.4000000000000003E-3</v>
      </c>
      <c r="J23">
        <v>0.98</v>
      </c>
      <c r="K23">
        <v>1.7999999999999999E-2</v>
      </c>
      <c r="L23">
        <v>0.93</v>
      </c>
      <c r="M23">
        <v>0.12</v>
      </c>
      <c r="N23">
        <v>0.56999999999999995</v>
      </c>
      <c r="O23">
        <v>23</v>
      </c>
      <c r="P23">
        <v>58</v>
      </c>
      <c r="Q23">
        <v>19</v>
      </c>
      <c r="R23" t="s">
        <v>22</v>
      </c>
      <c r="S23" t="s">
        <v>23</v>
      </c>
      <c r="T23" s="2">
        <f t="shared" si="0"/>
        <v>0.48148148148148145</v>
      </c>
    </row>
    <row r="24" spans="1:20" x14ac:dyDescent="0.35">
      <c r="A24" t="s">
        <v>91</v>
      </c>
      <c r="B24">
        <v>22</v>
      </c>
      <c r="R24" t="s">
        <v>87</v>
      </c>
      <c r="S24" t="s">
        <v>23</v>
      </c>
      <c r="T24" s="2">
        <f t="shared" si="0"/>
        <v>-1</v>
      </c>
    </row>
    <row r="25" spans="1:20" x14ac:dyDescent="0.35">
      <c r="A25" t="s">
        <v>92</v>
      </c>
      <c r="B25">
        <v>26</v>
      </c>
      <c r="R25" t="s">
        <v>87</v>
      </c>
      <c r="S25" t="s">
        <v>23</v>
      </c>
      <c r="T25" s="2">
        <f t="shared" si="0"/>
        <v>-1</v>
      </c>
    </row>
    <row r="26" spans="1:20" x14ac:dyDescent="0.35">
      <c r="A26" t="s">
        <v>93</v>
      </c>
      <c r="B26">
        <v>430</v>
      </c>
      <c r="C26" t="s">
        <v>94</v>
      </c>
      <c r="D26">
        <v>210</v>
      </c>
      <c r="E26" t="s">
        <v>95</v>
      </c>
      <c r="F26">
        <v>-220</v>
      </c>
      <c r="G26">
        <v>-52</v>
      </c>
      <c r="H26">
        <v>1.8E-3</v>
      </c>
      <c r="I26">
        <v>0.17</v>
      </c>
      <c r="J26">
        <v>0.4</v>
      </c>
      <c r="K26">
        <v>0.12</v>
      </c>
      <c r="L26">
        <v>0.57999999999999996</v>
      </c>
      <c r="M26">
        <v>6.7000000000000004E-2</v>
      </c>
      <c r="N26">
        <v>0.74</v>
      </c>
      <c r="O26">
        <v>19</v>
      </c>
      <c r="P26">
        <v>54</v>
      </c>
      <c r="Q26">
        <v>27</v>
      </c>
      <c r="R26" t="s">
        <v>22</v>
      </c>
      <c r="S26" t="s">
        <v>23</v>
      </c>
      <c r="T26" s="2">
        <f t="shared" si="0"/>
        <v>-0.51162790697674421</v>
      </c>
    </row>
    <row r="27" spans="1:20" x14ac:dyDescent="0.35">
      <c r="A27" t="s">
        <v>96</v>
      </c>
      <c r="B27">
        <v>160</v>
      </c>
      <c r="C27" t="s">
        <v>97</v>
      </c>
      <c r="D27">
        <v>300</v>
      </c>
      <c r="E27" t="s">
        <v>98</v>
      </c>
      <c r="F27">
        <v>140</v>
      </c>
      <c r="G27">
        <v>83</v>
      </c>
      <c r="H27">
        <v>1.5E-3</v>
      </c>
      <c r="I27">
        <v>0.11</v>
      </c>
      <c r="J27">
        <v>0.61</v>
      </c>
      <c r="K27">
        <v>8.8999999999999996E-2</v>
      </c>
      <c r="L27">
        <v>0.67</v>
      </c>
      <c r="M27">
        <v>3.2000000000000001E-2</v>
      </c>
      <c r="N27">
        <v>0.88</v>
      </c>
      <c r="O27">
        <v>23</v>
      </c>
      <c r="P27">
        <v>54</v>
      </c>
      <c r="Q27">
        <v>23</v>
      </c>
      <c r="R27" t="s">
        <v>22</v>
      </c>
      <c r="S27" t="s">
        <v>23</v>
      </c>
      <c r="T27" s="2">
        <f t="shared" si="0"/>
        <v>0.875</v>
      </c>
    </row>
    <row r="28" spans="1:20" x14ac:dyDescent="0.35">
      <c r="A28" t="s">
        <v>99</v>
      </c>
      <c r="B28">
        <v>240</v>
      </c>
      <c r="C28" t="s">
        <v>100</v>
      </c>
      <c r="D28">
        <v>260</v>
      </c>
      <c r="E28" t="s">
        <v>101</v>
      </c>
      <c r="F28">
        <v>20</v>
      </c>
      <c r="G28">
        <v>12</v>
      </c>
      <c r="H28">
        <v>0.68</v>
      </c>
      <c r="I28">
        <v>0.19</v>
      </c>
      <c r="J28">
        <v>0.36</v>
      </c>
      <c r="K28">
        <v>0.28999999999999998</v>
      </c>
      <c r="L28">
        <v>0.15</v>
      </c>
      <c r="M28">
        <v>0.11</v>
      </c>
      <c r="N28">
        <v>0.59</v>
      </c>
      <c r="O28">
        <v>35</v>
      </c>
      <c r="P28">
        <v>46</v>
      </c>
      <c r="Q28">
        <v>19</v>
      </c>
      <c r="R28" t="s">
        <v>22</v>
      </c>
      <c r="S28" t="s">
        <v>23</v>
      </c>
      <c r="T28" s="2">
        <f t="shared" si="0"/>
        <v>8.3333333333333329E-2</v>
      </c>
    </row>
    <row r="29" spans="1:20" x14ac:dyDescent="0.35">
      <c r="A29" t="s">
        <v>102</v>
      </c>
      <c r="B29">
        <v>49</v>
      </c>
      <c r="C29" t="s">
        <v>103</v>
      </c>
      <c r="D29">
        <v>74</v>
      </c>
      <c r="E29" t="s">
        <v>104</v>
      </c>
      <c r="F29">
        <v>25</v>
      </c>
      <c r="G29">
        <v>50</v>
      </c>
      <c r="H29">
        <v>0.15</v>
      </c>
      <c r="I29">
        <v>0.19</v>
      </c>
      <c r="J29">
        <v>0.35</v>
      </c>
      <c r="K29">
        <v>0.19</v>
      </c>
      <c r="L29">
        <v>0.36</v>
      </c>
      <c r="M29">
        <v>0.24</v>
      </c>
      <c r="N29">
        <v>0.24</v>
      </c>
      <c r="O29">
        <v>27</v>
      </c>
      <c r="P29">
        <v>58</v>
      </c>
      <c r="Q29">
        <v>15</v>
      </c>
      <c r="R29" t="s">
        <v>22</v>
      </c>
      <c r="S29" t="s">
        <v>23</v>
      </c>
      <c r="T29" s="2">
        <f t="shared" si="0"/>
        <v>0.51020408163265307</v>
      </c>
    </row>
    <row r="30" spans="1:20" x14ac:dyDescent="0.35">
      <c r="A30" t="s">
        <v>105</v>
      </c>
      <c r="B30">
        <v>29</v>
      </c>
      <c r="C30" t="s">
        <v>106</v>
      </c>
      <c r="D30">
        <v>20</v>
      </c>
      <c r="E30" t="s">
        <v>107</v>
      </c>
      <c r="F30">
        <v>-9</v>
      </c>
      <c r="G30">
        <v>-33</v>
      </c>
      <c r="H30">
        <v>0.46</v>
      </c>
      <c r="I30">
        <v>-0.12</v>
      </c>
      <c r="J30">
        <v>0.56999999999999995</v>
      </c>
      <c r="K30">
        <v>2.3E-2</v>
      </c>
      <c r="L30">
        <v>0.91</v>
      </c>
      <c r="M30">
        <v>0.11</v>
      </c>
      <c r="N30">
        <v>0.57999999999999996</v>
      </c>
      <c r="O30">
        <v>35</v>
      </c>
      <c r="P30">
        <v>42</v>
      </c>
      <c r="Q30">
        <v>23</v>
      </c>
      <c r="R30" t="s">
        <v>22</v>
      </c>
      <c r="S30" t="s">
        <v>23</v>
      </c>
      <c r="T30" s="2">
        <f t="shared" si="0"/>
        <v>-0.31034482758620691</v>
      </c>
    </row>
    <row r="31" spans="1:20" x14ac:dyDescent="0.35">
      <c r="A31" t="s">
        <v>108</v>
      </c>
      <c r="B31">
        <v>21</v>
      </c>
      <c r="C31" t="s">
        <v>109</v>
      </c>
      <c r="D31">
        <v>24</v>
      </c>
      <c r="E31" t="s">
        <v>110</v>
      </c>
      <c r="F31">
        <v>3</v>
      </c>
      <c r="G31">
        <v>14</v>
      </c>
      <c r="H31">
        <v>0.7</v>
      </c>
      <c r="I31">
        <v>0.25</v>
      </c>
      <c r="J31">
        <v>0.22</v>
      </c>
      <c r="K31">
        <v>0.25</v>
      </c>
      <c r="L31">
        <v>0.22</v>
      </c>
      <c r="M31">
        <v>0.31</v>
      </c>
      <c r="N31">
        <v>0.13</v>
      </c>
      <c r="O31">
        <v>27</v>
      </c>
      <c r="P31">
        <v>54</v>
      </c>
      <c r="Q31">
        <v>19</v>
      </c>
      <c r="R31" t="s">
        <v>22</v>
      </c>
      <c r="S31" t="s">
        <v>23</v>
      </c>
      <c r="T31" s="2">
        <f t="shared" si="0"/>
        <v>0.14285714285714285</v>
      </c>
    </row>
    <row r="32" spans="1:20" x14ac:dyDescent="0.35">
      <c r="A32" t="s">
        <v>111</v>
      </c>
      <c r="B32">
        <v>130</v>
      </c>
      <c r="C32" t="s">
        <v>112</v>
      </c>
      <c r="D32">
        <v>53</v>
      </c>
      <c r="E32" t="s">
        <v>113</v>
      </c>
      <c r="F32">
        <v>-77</v>
      </c>
      <c r="G32">
        <v>-59</v>
      </c>
      <c r="H32">
        <v>1.2999999999999999E-3</v>
      </c>
      <c r="I32">
        <v>8.8999999999999999E-3</v>
      </c>
      <c r="J32">
        <v>0.97</v>
      </c>
      <c r="K32">
        <v>6.3E-2</v>
      </c>
      <c r="L32">
        <v>0.76</v>
      </c>
      <c r="M32">
        <v>-1.4999999999999999E-2</v>
      </c>
      <c r="N32">
        <v>0.94</v>
      </c>
      <c r="O32">
        <v>15</v>
      </c>
      <c r="P32">
        <v>65</v>
      </c>
      <c r="Q32">
        <v>19</v>
      </c>
      <c r="R32" t="s">
        <v>22</v>
      </c>
      <c r="S32" t="s">
        <v>23</v>
      </c>
      <c r="T32" s="2">
        <f t="shared" si="0"/>
        <v>-0.59230769230769231</v>
      </c>
    </row>
    <row r="33" spans="1:20" x14ac:dyDescent="0.35">
      <c r="A33" t="s">
        <v>114</v>
      </c>
      <c r="B33">
        <v>80</v>
      </c>
      <c r="C33" t="s">
        <v>115</v>
      </c>
      <c r="D33">
        <v>140</v>
      </c>
      <c r="E33" t="s">
        <v>116</v>
      </c>
      <c r="F33">
        <v>60</v>
      </c>
      <c r="G33">
        <v>70</v>
      </c>
      <c r="H33">
        <v>0.3</v>
      </c>
      <c r="I33">
        <v>0.5</v>
      </c>
      <c r="J33">
        <v>9.4000000000000004E-3</v>
      </c>
      <c r="K33">
        <v>0.59</v>
      </c>
      <c r="L33">
        <v>1.5E-3</v>
      </c>
      <c r="M33">
        <v>0.21</v>
      </c>
      <c r="N33">
        <v>0.3</v>
      </c>
      <c r="O33">
        <v>35</v>
      </c>
      <c r="P33">
        <v>42</v>
      </c>
      <c r="Q33">
        <v>23</v>
      </c>
      <c r="R33" t="s">
        <v>36</v>
      </c>
      <c r="S33" t="s">
        <v>23</v>
      </c>
      <c r="T33" s="2">
        <f t="shared" si="0"/>
        <v>0.75</v>
      </c>
    </row>
    <row r="34" spans="1:20" x14ac:dyDescent="0.35">
      <c r="A34" t="s">
        <v>117</v>
      </c>
      <c r="B34">
        <v>21</v>
      </c>
      <c r="R34" t="s">
        <v>87</v>
      </c>
      <c r="S34" t="s">
        <v>23</v>
      </c>
      <c r="T34" s="2">
        <f t="shared" si="0"/>
        <v>-1</v>
      </c>
    </row>
    <row r="35" spans="1:20" x14ac:dyDescent="0.35">
      <c r="A35" t="s">
        <v>118</v>
      </c>
      <c r="B35">
        <v>24</v>
      </c>
      <c r="C35" t="s">
        <v>119</v>
      </c>
      <c r="D35">
        <v>23</v>
      </c>
      <c r="E35" t="s">
        <v>120</v>
      </c>
      <c r="F35">
        <v>-1</v>
      </c>
      <c r="G35">
        <v>-2</v>
      </c>
      <c r="H35">
        <v>0.97</v>
      </c>
      <c r="I35">
        <v>0.45</v>
      </c>
      <c r="J35">
        <v>2.3E-2</v>
      </c>
      <c r="K35">
        <v>0.46</v>
      </c>
      <c r="L35">
        <v>1.7000000000000001E-2</v>
      </c>
      <c r="M35">
        <v>0.28000000000000003</v>
      </c>
      <c r="N35">
        <v>0.16</v>
      </c>
      <c r="O35">
        <v>15</v>
      </c>
      <c r="P35">
        <v>65</v>
      </c>
      <c r="Q35">
        <v>19</v>
      </c>
      <c r="R35" t="s">
        <v>36</v>
      </c>
      <c r="S35" t="s">
        <v>23</v>
      </c>
      <c r="T35" s="2">
        <f t="shared" si="0"/>
        <v>-4.1666666666666664E-2</v>
      </c>
    </row>
    <row r="36" spans="1:20" x14ac:dyDescent="0.35">
      <c r="A36" t="s">
        <v>121</v>
      </c>
      <c r="B36">
        <v>31</v>
      </c>
      <c r="C36" t="s">
        <v>122</v>
      </c>
      <c r="D36">
        <v>28</v>
      </c>
      <c r="E36" t="s">
        <v>123</v>
      </c>
      <c r="F36">
        <v>-3</v>
      </c>
      <c r="G36">
        <v>-11</v>
      </c>
      <c r="H36">
        <v>0.7</v>
      </c>
      <c r="I36">
        <v>0.17</v>
      </c>
      <c r="J36">
        <v>0.4</v>
      </c>
      <c r="K36">
        <v>9.2999999999999999E-2</v>
      </c>
      <c r="L36">
        <v>0.65</v>
      </c>
      <c r="M36">
        <v>0.16</v>
      </c>
      <c r="N36">
        <v>0.44</v>
      </c>
      <c r="O36">
        <v>19</v>
      </c>
      <c r="P36">
        <v>65</v>
      </c>
      <c r="Q36">
        <v>15</v>
      </c>
      <c r="R36" t="s">
        <v>22</v>
      </c>
      <c r="S36" t="s">
        <v>23</v>
      </c>
      <c r="T36" s="2">
        <f t="shared" si="0"/>
        <v>-9.6774193548387094E-2</v>
      </c>
    </row>
    <row r="37" spans="1:20" x14ac:dyDescent="0.35">
      <c r="A37" t="s">
        <v>124</v>
      </c>
      <c r="B37">
        <v>45</v>
      </c>
      <c r="C37" t="s">
        <v>125</v>
      </c>
      <c r="D37">
        <v>11</v>
      </c>
      <c r="E37" t="s">
        <v>126</v>
      </c>
      <c r="F37">
        <v>-34</v>
      </c>
      <c r="G37">
        <v>-75</v>
      </c>
      <c r="H37">
        <v>0.26</v>
      </c>
      <c r="I37">
        <v>0.38</v>
      </c>
      <c r="J37">
        <v>5.2999999999999999E-2</v>
      </c>
      <c r="K37">
        <v>0.39</v>
      </c>
      <c r="L37">
        <v>4.9000000000000002E-2</v>
      </c>
      <c r="M37">
        <v>0.52</v>
      </c>
      <c r="N37">
        <v>6.3E-3</v>
      </c>
      <c r="O37">
        <v>73</v>
      </c>
      <c r="P37">
        <v>12</v>
      </c>
      <c r="Q37">
        <v>15</v>
      </c>
      <c r="R37" t="s">
        <v>36</v>
      </c>
      <c r="S37" t="s">
        <v>23</v>
      </c>
      <c r="T37" s="2">
        <f t="shared" si="0"/>
        <v>-0.75555555555555554</v>
      </c>
    </row>
    <row r="38" spans="1:20" x14ac:dyDescent="0.35">
      <c r="A38" t="s">
        <v>50</v>
      </c>
      <c r="B38">
        <v>28</v>
      </c>
      <c r="C38" t="s">
        <v>51</v>
      </c>
      <c r="D38">
        <v>56</v>
      </c>
      <c r="E38" t="s">
        <v>52</v>
      </c>
      <c r="F38">
        <v>28</v>
      </c>
      <c r="G38">
        <v>100</v>
      </c>
      <c r="H38">
        <v>0.11</v>
      </c>
      <c r="I38">
        <v>0.25</v>
      </c>
      <c r="J38">
        <v>0.22</v>
      </c>
      <c r="K38">
        <v>0.25</v>
      </c>
      <c r="L38">
        <v>0.22</v>
      </c>
      <c r="M38">
        <v>0.28999999999999998</v>
      </c>
      <c r="N38">
        <v>0.15</v>
      </c>
      <c r="O38">
        <v>42</v>
      </c>
      <c r="P38">
        <v>35</v>
      </c>
      <c r="Q38">
        <v>23</v>
      </c>
      <c r="R38" t="s">
        <v>22</v>
      </c>
      <c r="S38" t="s">
        <v>23</v>
      </c>
      <c r="T38" s="2">
        <f t="shared" si="0"/>
        <v>1</v>
      </c>
    </row>
    <row r="39" spans="1:20" x14ac:dyDescent="0.35">
      <c r="A39" t="s">
        <v>127</v>
      </c>
      <c r="B39">
        <v>7.4</v>
      </c>
      <c r="R39" t="s">
        <v>87</v>
      </c>
      <c r="S39" t="s">
        <v>23</v>
      </c>
      <c r="T39" s="2">
        <f t="shared" si="0"/>
        <v>-1</v>
      </c>
    </row>
    <row r="40" spans="1:20" x14ac:dyDescent="0.35">
      <c r="A40" t="s">
        <v>128</v>
      </c>
      <c r="B40">
        <v>37</v>
      </c>
      <c r="R40" t="s">
        <v>87</v>
      </c>
      <c r="S40" t="s">
        <v>23</v>
      </c>
      <c r="T40" s="2">
        <f t="shared" si="0"/>
        <v>-1</v>
      </c>
    </row>
    <row r="41" spans="1:20" x14ac:dyDescent="0.35">
      <c r="A41" t="s">
        <v>129</v>
      </c>
      <c r="B41">
        <v>120</v>
      </c>
      <c r="R41" t="s">
        <v>87</v>
      </c>
      <c r="S41" t="s">
        <v>23</v>
      </c>
      <c r="T41" s="2">
        <f t="shared" si="0"/>
        <v>-1</v>
      </c>
    </row>
    <row r="42" spans="1:20" x14ac:dyDescent="0.35">
      <c r="A42" t="s">
        <v>130</v>
      </c>
      <c r="B42">
        <v>1200</v>
      </c>
      <c r="C42" t="s">
        <v>131</v>
      </c>
      <c r="D42">
        <v>820</v>
      </c>
      <c r="E42" t="s">
        <v>132</v>
      </c>
      <c r="F42">
        <v>-380</v>
      </c>
      <c r="G42">
        <v>-31</v>
      </c>
      <c r="H42">
        <v>2.2000000000000001E-3</v>
      </c>
      <c r="I42">
        <v>0.22</v>
      </c>
      <c r="J42">
        <v>0.28000000000000003</v>
      </c>
      <c r="K42">
        <v>0.17</v>
      </c>
      <c r="L42">
        <v>0.39</v>
      </c>
      <c r="M42">
        <v>0.2</v>
      </c>
      <c r="N42">
        <v>0.32</v>
      </c>
      <c r="O42">
        <v>23</v>
      </c>
      <c r="P42">
        <v>58</v>
      </c>
      <c r="Q42">
        <v>19</v>
      </c>
      <c r="R42" t="s">
        <v>22</v>
      </c>
      <c r="S42" t="s">
        <v>23</v>
      </c>
      <c r="T42" s="2">
        <f t="shared" si="0"/>
        <v>-0.31666666666666665</v>
      </c>
    </row>
    <row r="43" spans="1:20" x14ac:dyDescent="0.35">
      <c r="A43" t="s">
        <v>133</v>
      </c>
      <c r="B43">
        <v>1600</v>
      </c>
      <c r="C43" t="s">
        <v>134</v>
      </c>
      <c r="D43">
        <v>1200</v>
      </c>
      <c r="E43" t="s">
        <v>135</v>
      </c>
      <c r="F43">
        <v>-400</v>
      </c>
      <c r="G43">
        <v>-25</v>
      </c>
      <c r="H43">
        <v>1.7999999999999999E-2</v>
      </c>
      <c r="I43">
        <v>0.12</v>
      </c>
      <c r="J43">
        <v>0.56000000000000005</v>
      </c>
      <c r="K43">
        <v>0.5</v>
      </c>
      <c r="L43">
        <v>9.7999999999999997E-3</v>
      </c>
      <c r="M43">
        <v>9.9000000000000005E-2</v>
      </c>
      <c r="N43">
        <v>0.63</v>
      </c>
      <c r="O43">
        <v>23</v>
      </c>
      <c r="P43">
        <v>54</v>
      </c>
      <c r="Q43">
        <v>23</v>
      </c>
      <c r="R43" t="s">
        <v>40</v>
      </c>
      <c r="S43" t="s">
        <v>23</v>
      </c>
      <c r="T43" s="2">
        <f t="shared" si="0"/>
        <v>-0.25</v>
      </c>
    </row>
    <row r="44" spans="1:20" x14ac:dyDescent="0.35">
      <c r="A44" t="s">
        <v>136</v>
      </c>
      <c r="B44">
        <v>2300</v>
      </c>
      <c r="C44" t="s">
        <v>137</v>
      </c>
      <c r="D44">
        <v>2100</v>
      </c>
      <c r="E44" t="s">
        <v>138</v>
      </c>
      <c r="F44">
        <v>-200</v>
      </c>
      <c r="G44">
        <v>-10</v>
      </c>
      <c r="H44">
        <v>0.38</v>
      </c>
      <c r="I44">
        <v>-0.15</v>
      </c>
      <c r="J44">
        <v>0.47</v>
      </c>
      <c r="K44">
        <v>0.25</v>
      </c>
      <c r="L44">
        <v>0.22</v>
      </c>
      <c r="M44">
        <v>-3.9E-2</v>
      </c>
      <c r="N44">
        <v>0.85</v>
      </c>
      <c r="O44">
        <v>19</v>
      </c>
      <c r="P44">
        <v>50</v>
      </c>
      <c r="Q44">
        <v>31</v>
      </c>
      <c r="R44" t="s">
        <v>22</v>
      </c>
      <c r="S44" t="s">
        <v>23</v>
      </c>
      <c r="T44" s="2">
        <f t="shared" si="0"/>
        <v>-8.6956521739130432E-2</v>
      </c>
    </row>
  </sheetData>
  <autoFilter ref="A1:T44" xr:uid="{D083B090-D9F7-450C-81B5-AC53B75A3849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4"/>
  <sheetViews>
    <sheetView topLeftCell="F1" workbookViewId="0">
      <selection activeCell="I1" sqref="I1:I1048576"/>
    </sheetView>
  </sheetViews>
  <sheetFormatPr baseColWidth="10" defaultRowHeight="14.5" x14ac:dyDescent="0.35"/>
  <cols>
    <col min="20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632</v>
      </c>
    </row>
    <row r="2" spans="1:20" x14ac:dyDescent="0.35">
      <c r="A2" t="s">
        <v>19</v>
      </c>
      <c r="B2">
        <v>74</v>
      </c>
      <c r="C2" t="s">
        <v>139</v>
      </c>
      <c r="D2">
        <v>150</v>
      </c>
      <c r="E2" t="s">
        <v>140</v>
      </c>
      <c r="F2">
        <v>76</v>
      </c>
      <c r="G2">
        <v>110</v>
      </c>
      <c r="H2">
        <v>7.7000000000000002E-3</v>
      </c>
      <c r="I2">
        <v>0.05</v>
      </c>
      <c r="J2">
        <v>0.81</v>
      </c>
      <c r="K2">
        <v>0.13</v>
      </c>
      <c r="L2">
        <v>0.52</v>
      </c>
      <c r="M2">
        <v>0.13</v>
      </c>
      <c r="N2">
        <v>0.54</v>
      </c>
      <c r="O2">
        <v>19</v>
      </c>
      <c r="P2">
        <v>65</v>
      </c>
      <c r="Q2">
        <v>15</v>
      </c>
      <c r="R2" t="s">
        <v>22</v>
      </c>
      <c r="S2" t="s">
        <v>141</v>
      </c>
      <c r="T2" s="2">
        <f>(D2-B2)/B2</f>
        <v>1.027027027027027</v>
      </c>
    </row>
    <row r="3" spans="1:20" x14ac:dyDescent="0.35">
      <c r="A3" t="s">
        <v>24</v>
      </c>
      <c r="B3">
        <v>1.8</v>
      </c>
      <c r="C3" t="s">
        <v>142</v>
      </c>
      <c r="D3">
        <v>1.4</v>
      </c>
      <c r="E3" t="s">
        <v>143</v>
      </c>
      <c r="F3">
        <v>-0.4</v>
      </c>
      <c r="G3">
        <v>-24</v>
      </c>
      <c r="H3">
        <v>0.76</v>
      </c>
      <c r="I3">
        <v>-9.1999999999999998E-2</v>
      </c>
      <c r="J3">
        <v>0.66</v>
      </c>
      <c r="K3">
        <v>-9.1999999999999998E-2</v>
      </c>
      <c r="L3">
        <v>0.65</v>
      </c>
      <c r="M3">
        <v>-0.1</v>
      </c>
      <c r="N3">
        <v>0.61</v>
      </c>
      <c r="O3">
        <v>81</v>
      </c>
      <c r="P3">
        <v>12</v>
      </c>
      <c r="Q3">
        <v>7.7</v>
      </c>
      <c r="R3" t="s">
        <v>22</v>
      </c>
      <c r="S3" t="s">
        <v>141</v>
      </c>
      <c r="T3" s="2">
        <f t="shared" ref="T3:T44" si="0">(D3-B3)/B3</f>
        <v>-0.22222222222222229</v>
      </c>
    </row>
    <row r="4" spans="1:20" x14ac:dyDescent="0.35">
      <c r="A4" t="s">
        <v>27</v>
      </c>
      <c r="B4">
        <v>62</v>
      </c>
      <c r="C4" t="s">
        <v>144</v>
      </c>
      <c r="D4">
        <v>100</v>
      </c>
      <c r="E4" t="s">
        <v>145</v>
      </c>
      <c r="F4">
        <v>38</v>
      </c>
      <c r="G4">
        <v>63</v>
      </c>
      <c r="H4">
        <v>3.1E-2</v>
      </c>
      <c r="I4">
        <v>0.46</v>
      </c>
      <c r="J4">
        <v>1.9E-2</v>
      </c>
      <c r="K4">
        <v>0.4</v>
      </c>
      <c r="L4">
        <v>4.2999999999999997E-2</v>
      </c>
      <c r="M4">
        <v>0.43</v>
      </c>
      <c r="N4">
        <v>2.8000000000000001E-2</v>
      </c>
      <c r="O4">
        <v>38</v>
      </c>
      <c r="P4">
        <v>46</v>
      </c>
      <c r="Q4">
        <v>15</v>
      </c>
      <c r="R4" t="s">
        <v>40</v>
      </c>
      <c r="S4" t="s">
        <v>141</v>
      </c>
      <c r="T4" s="2">
        <f t="shared" si="0"/>
        <v>0.61290322580645162</v>
      </c>
    </row>
    <row r="5" spans="1:20" x14ac:dyDescent="0.35">
      <c r="A5" t="s">
        <v>30</v>
      </c>
      <c r="B5">
        <v>290</v>
      </c>
      <c r="C5" t="s">
        <v>146</v>
      </c>
      <c r="D5">
        <v>170</v>
      </c>
      <c r="E5" t="s">
        <v>147</v>
      </c>
      <c r="F5">
        <v>-120</v>
      </c>
      <c r="G5">
        <v>-42</v>
      </c>
      <c r="H5">
        <v>3.5000000000000003E-2</v>
      </c>
      <c r="I5">
        <v>0.21</v>
      </c>
      <c r="J5">
        <v>0.3</v>
      </c>
      <c r="K5">
        <v>0.44</v>
      </c>
      <c r="L5">
        <v>2.3E-2</v>
      </c>
      <c r="M5">
        <v>1.6999999999999999E-3</v>
      </c>
      <c r="N5">
        <v>0.99</v>
      </c>
      <c r="O5">
        <v>19</v>
      </c>
      <c r="P5">
        <v>54</v>
      </c>
      <c r="Q5">
        <v>27</v>
      </c>
      <c r="R5" t="s">
        <v>40</v>
      </c>
      <c r="S5" t="s">
        <v>141</v>
      </c>
      <c r="T5" s="2">
        <f t="shared" si="0"/>
        <v>-0.41379310344827586</v>
      </c>
    </row>
    <row r="6" spans="1:20" x14ac:dyDescent="0.35">
      <c r="A6" t="s">
        <v>33</v>
      </c>
      <c r="B6">
        <v>44</v>
      </c>
      <c r="C6" t="s">
        <v>148</v>
      </c>
      <c r="D6">
        <v>58</v>
      </c>
      <c r="E6" t="s">
        <v>149</v>
      </c>
      <c r="F6">
        <v>14</v>
      </c>
      <c r="G6">
        <v>32</v>
      </c>
      <c r="H6">
        <v>0.23</v>
      </c>
      <c r="I6">
        <v>0.33</v>
      </c>
      <c r="J6">
        <v>9.9000000000000005E-2</v>
      </c>
      <c r="K6">
        <v>0.12</v>
      </c>
      <c r="L6">
        <v>0.55000000000000004</v>
      </c>
      <c r="M6">
        <v>0.45</v>
      </c>
      <c r="N6">
        <v>0.02</v>
      </c>
      <c r="O6">
        <v>38</v>
      </c>
      <c r="P6">
        <v>46</v>
      </c>
      <c r="Q6">
        <v>15</v>
      </c>
      <c r="R6" t="s">
        <v>36</v>
      </c>
      <c r="S6" t="s">
        <v>141</v>
      </c>
      <c r="T6" s="2">
        <f t="shared" si="0"/>
        <v>0.31818181818181818</v>
      </c>
    </row>
    <row r="7" spans="1:20" x14ac:dyDescent="0.35">
      <c r="A7" t="s">
        <v>37</v>
      </c>
      <c r="B7">
        <v>220</v>
      </c>
      <c r="C7" t="s">
        <v>150</v>
      </c>
      <c r="D7">
        <v>100</v>
      </c>
      <c r="E7" t="s">
        <v>151</v>
      </c>
      <c r="F7">
        <v>-120</v>
      </c>
      <c r="G7">
        <v>-54</v>
      </c>
      <c r="H7">
        <v>1.4999999999999999E-2</v>
      </c>
      <c r="I7">
        <v>0.34</v>
      </c>
      <c r="J7">
        <v>8.6999999999999994E-2</v>
      </c>
      <c r="K7">
        <v>0.36</v>
      </c>
      <c r="L7">
        <v>7.1999999999999995E-2</v>
      </c>
      <c r="M7">
        <v>0.36</v>
      </c>
      <c r="N7">
        <v>7.3999999999999996E-2</v>
      </c>
      <c r="O7">
        <v>38</v>
      </c>
      <c r="P7">
        <v>46</v>
      </c>
      <c r="Q7">
        <v>15</v>
      </c>
      <c r="R7" t="s">
        <v>22</v>
      </c>
      <c r="S7" t="s">
        <v>141</v>
      </c>
      <c r="T7" s="2">
        <f t="shared" si="0"/>
        <v>-0.54545454545454541</v>
      </c>
    </row>
    <row r="8" spans="1:20" x14ac:dyDescent="0.35">
      <c r="A8" t="s">
        <v>41</v>
      </c>
      <c r="B8">
        <v>1.7</v>
      </c>
      <c r="C8" t="s">
        <v>152</v>
      </c>
      <c r="D8">
        <v>2.5</v>
      </c>
      <c r="E8" t="s">
        <v>153</v>
      </c>
      <c r="F8">
        <v>0.8</v>
      </c>
      <c r="G8">
        <v>50</v>
      </c>
      <c r="H8">
        <v>0.68</v>
      </c>
      <c r="I8">
        <v>-8.8999999999999996E-2</v>
      </c>
      <c r="J8">
        <v>0.67</v>
      </c>
      <c r="K8">
        <v>-0.13</v>
      </c>
      <c r="L8">
        <v>0.52</v>
      </c>
      <c r="M8">
        <v>-9.7000000000000003E-2</v>
      </c>
      <c r="N8">
        <v>0.64</v>
      </c>
      <c r="O8">
        <v>42</v>
      </c>
      <c r="P8">
        <v>50</v>
      </c>
      <c r="Q8">
        <v>7.7</v>
      </c>
      <c r="R8" t="s">
        <v>22</v>
      </c>
      <c r="S8" t="s">
        <v>141</v>
      </c>
      <c r="T8" s="2">
        <f t="shared" si="0"/>
        <v>0.4705882352941177</v>
      </c>
    </row>
    <row r="9" spans="1:20" x14ac:dyDescent="0.35">
      <c r="A9" t="s">
        <v>44</v>
      </c>
      <c r="B9">
        <v>55</v>
      </c>
      <c r="C9" t="s">
        <v>154</v>
      </c>
      <c r="D9">
        <v>14</v>
      </c>
      <c r="E9" t="s">
        <v>155</v>
      </c>
      <c r="F9">
        <v>-41</v>
      </c>
      <c r="G9">
        <v>-75</v>
      </c>
      <c r="H9">
        <v>2E-3</v>
      </c>
      <c r="I9">
        <v>0.27</v>
      </c>
      <c r="J9">
        <v>0.17</v>
      </c>
      <c r="K9">
        <v>0.37</v>
      </c>
      <c r="L9">
        <v>6.6000000000000003E-2</v>
      </c>
      <c r="M9">
        <v>0.27</v>
      </c>
      <c r="N9">
        <v>0.18</v>
      </c>
      <c r="O9">
        <v>35</v>
      </c>
      <c r="P9">
        <v>50</v>
      </c>
      <c r="Q9">
        <v>15</v>
      </c>
      <c r="R9" t="s">
        <v>22</v>
      </c>
      <c r="S9" t="s">
        <v>141</v>
      </c>
      <c r="T9" s="2">
        <f t="shared" si="0"/>
        <v>-0.74545454545454548</v>
      </c>
    </row>
    <row r="10" spans="1:20" x14ac:dyDescent="0.35">
      <c r="A10" t="s">
        <v>47</v>
      </c>
      <c r="B10">
        <v>220</v>
      </c>
      <c r="C10" t="s">
        <v>156</v>
      </c>
      <c r="D10">
        <v>100</v>
      </c>
      <c r="E10" t="s">
        <v>157</v>
      </c>
      <c r="F10">
        <v>-120</v>
      </c>
      <c r="G10">
        <v>-53</v>
      </c>
      <c r="H10">
        <v>9.6000000000000002E-4</v>
      </c>
      <c r="I10">
        <v>0.21</v>
      </c>
      <c r="J10">
        <v>0.28999999999999998</v>
      </c>
      <c r="K10">
        <v>4.3999999999999997E-2</v>
      </c>
      <c r="L10">
        <v>0.83</v>
      </c>
      <c r="M10">
        <v>0.3</v>
      </c>
      <c r="N10">
        <v>0.14000000000000001</v>
      </c>
      <c r="O10">
        <v>12</v>
      </c>
      <c r="P10">
        <v>73</v>
      </c>
      <c r="Q10">
        <v>15</v>
      </c>
      <c r="R10" t="s">
        <v>22</v>
      </c>
      <c r="S10" t="s">
        <v>141</v>
      </c>
      <c r="T10" s="2">
        <f t="shared" si="0"/>
        <v>-0.54545454545454541</v>
      </c>
    </row>
    <row r="11" spans="1:20" x14ac:dyDescent="0.35">
      <c r="A11" t="s">
        <v>50</v>
      </c>
      <c r="B11">
        <v>48</v>
      </c>
      <c r="C11" t="s">
        <v>158</v>
      </c>
      <c r="D11">
        <v>67</v>
      </c>
      <c r="E11" t="s">
        <v>159</v>
      </c>
      <c r="F11">
        <v>19</v>
      </c>
      <c r="G11">
        <v>41</v>
      </c>
      <c r="H11">
        <v>0.39</v>
      </c>
      <c r="I11">
        <v>-0.22</v>
      </c>
      <c r="J11">
        <v>0.28999999999999998</v>
      </c>
      <c r="K11">
        <v>-7.2999999999999995E-2</v>
      </c>
      <c r="L11">
        <v>0.72</v>
      </c>
      <c r="M11">
        <v>-3.5000000000000003E-2</v>
      </c>
      <c r="N11">
        <v>0.86</v>
      </c>
      <c r="O11">
        <v>19</v>
      </c>
      <c r="P11">
        <v>54</v>
      </c>
      <c r="Q11">
        <v>27</v>
      </c>
      <c r="R11" t="s">
        <v>22</v>
      </c>
      <c r="S11" t="s">
        <v>141</v>
      </c>
      <c r="T11" s="2">
        <f t="shared" si="0"/>
        <v>0.39583333333333331</v>
      </c>
    </row>
    <row r="12" spans="1:20" x14ac:dyDescent="0.35">
      <c r="A12" t="s">
        <v>53</v>
      </c>
      <c r="B12">
        <v>5.9</v>
      </c>
      <c r="C12" t="s">
        <v>160</v>
      </c>
      <c r="D12">
        <v>3.8</v>
      </c>
      <c r="E12" t="s">
        <v>161</v>
      </c>
      <c r="F12">
        <v>-2.1</v>
      </c>
      <c r="G12">
        <v>-35</v>
      </c>
      <c r="H12">
        <v>0.53</v>
      </c>
      <c r="I12">
        <v>0.45</v>
      </c>
      <c r="J12">
        <v>2.1999999999999999E-2</v>
      </c>
      <c r="K12">
        <v>0.44</v>
      </c>
      <c r="L12">
        <v>2.4E-2</v>
      </c>
      <c r="M12">
        <v>0.55000000000000004</v>
      </c>
      <c r="N12">
        <v>3.5000000000000001E-3</v>
      </c>
      <c r="O12">
        <v>69</v>
      </c>
      <c r="P12">
        <v>27</v>
      </c>
      <c r="Q12">
        <v>3.8</v>
      </c>
      <c r="R12" t="s">
        <v>162</v>
      </c>
      <c r="S12" t="s">
        <v>141</v>
      </c>
      <c r="T12" s="2">
        <f t="shared" si="0"/>
        <v>-0.35593220338983056</v>
      </c>
    </row>
    <row r="13" spans="1:20" x14ac:dyDescent="0.35">
      <c r="A13" t="s">
        <v>56</v>
      </c>
      <c r="B13">
        <v>22</v>
      </c>
      <c r="C13" t="s">
        <v>163</v>
      </c>
      <c r="D13">
        <v>32</v>
      </c>
      <c r="E13" t="s">
        <v>164</v>
      </c>
      <c r="F13">
        <v>10</v>
      </c>
      <c r="G13">
        <v>42</v>
      </c>
      <c r="H13">
        <v>0.3</v>
      </c>
      <c r="I13">
        <v>0.3</v>
      </c>
      <c r="J13">
        <v>0.13</v>
      </c>
      <c r="K13">
        <v>0.31</v>
      </c>
      <c r="L13">
        <v>0.12</v>
      </c>
      <c r="M13">
        <v>0.34</v>
      </c>
      <c r="N13">
        <v>9.4E-2</v>
      </c>
      <c r="O13">
        <v>31</v>
      </c>
      <c r="P13">
        <v>58</v>
      </c>
      <c r="Q13">
        <v>12</v>
      </c>
      <c r="R13" t="s">
        <v>22</v>
      </c>
      <c r="S13" t="s">
        <v>141</v>
      </c>
      <c r="T13" s="2">
        <f t="shared" si="0"/>
        <v>0.45454545454545453</v>
      </c>
    </row>
    <row r="14" spans="1:20" x14ac:dyDescent="0.35">
      <c r="A14" t="s">
        <v>59</v>
      </c>
      <c r="B14">
        <v>100</v>
      </c>
      <c r="C14" t="s">
        <v>165</v>
      </c>
      <c r="D14">
        <v>76</v>
      </c>
      <c r="E14" t="s">
        <v>166</v>
      </c>
      <c r="F14">
        <v>-24</v>
      </c>
      <c r="G14">
        <v>-26</v>
      </c>
      <c r="H14">
        <v>0.27</v>
      </c>
      <c r="I14">
        <v>0.41</v>
      </c>
      <c r="J14">
        <v>3.5999999999999997E-2</v>
      </c>
      <c r="K14">
        <v>0.48</v>
      </c>
      <c r="L14">
        <v>1.2999999999999999E-2</v>
      </c>
      <c r="M14">
        <v>0.12</v>
      </c>
      <c r="N14">
        <v>0.55000000000000004</v>
      </c>
      <c r="O14">
        <v>27</v>
      </c>
      <c r="P14">
        <v>58</v>
      </c>
      <c r="Q14">
        <v>15</v>
      </c>
      <c r="R14" t="s">
        <v>36</v>
      </c>
      <c r="S14" t="s">
        <v>141</v>
      </c>
      <c r="T14" s="2">
        <f t="shared" si="0"/>
        <v>-0.24</v>
      </c>
    </row>
    <row r="15" spans="1:20" x14ac:dyDescent="0.35">
      <c r="A15" t="s">
        <v>62</v>
      </c>
      <c r="B15">
        <v>0.66</v>
      </c>
      <c r="C15" t="s">
        <v>167</v>
      </c>
      <c r="D15">
        <v>12</v>
      </c>
      <c r="E15" t="s">
        <v>168</v>
      </c>
      <c r="F15">
        <v>11.34</v>
      </c>
      <c r="G15">
        <v>1800</v>
      </c>
      <c r="H15">
        <v>2.1000000000000001E-2</v>
      </c>
      <c r="I15">
        <v>2.3E-2</v>
      </c>
      <c r="J15">
        <v>0.91</v>
      </c>
      <c r="K15">
        <v>1.2E-2</v>
      </c>
      <c r="L15">
        <v>0.95</v>
      </c>
      <c r="M15">
        <v>0.05</v>
      </c>
      <c r="N15">
        <v>0.81</v>
      </c>
      <c r="O15">
        <v>46</v>
      </c>
      <c r="P15">
        <v>38</v>
      </c>
      <c r="Q15">
        <v>15</v>
      </c>
      <c r="R15" t="s">
        <v>22</v>
      </c>
      <c r="S15" t="s">
        <v>141</v>
      </c>
      <c r="T15" s="2">
        <f t="shared" si="0"/>
        <v>17.18181818181818</v>
      </c>
    </row>
    <row r="16" spans="1:20" x14ac:dyDescent="0.35">
      <c r="A16" t="s">
        <v>65</v>
      </c>
      <c r="B16">
        <v>17</v>
      </c>
      <c r="C16" t="s">
        <v>169</v>
      </c>
      <c r="D16">
        <v>66</v>
      </c>
      <c r="E16" t="s">
        <v>170</v>
      </c>
      <c r="F16">
        <v>49</v>
      </c>
      <c r="G16">
        <v>290</v>
      </c>
      <c r="H16">
        <v>4.9000000000000002E-2</v>
      </c>
      <c r="I16">
        <v>0.17</v>
      </c>
      <c r="J16">
        <v>0.41</v>
      </c>
      <c r="K16">
        <v>0.19</v>
      </c>
      <c r="L16">
        <v>0.35</v>
      </c>
      <c r="M16">
        <v>8.5000000000000006E-2</v>
      </c>
      <c r="N16">
        <v>0.68</v>
      </c>
      <c r="O16">
        <v>12</v>
      </c>
      <c r="P16">
        <v>69</v>
      </c>
      <c r="Q16">
        <v>19</v>
      </c>
      <c r="R16" t="s">
        <v>22</v>
      </c>
      <c r="S16" t="s">
        <v>141</v>
      </c>
      <c r="T16" s="2">
        <f t="shared" si="0"/>
        <v>2.8823529411764706</v>
      </c>
    </row>
    <row r="17" spans="1:20" x14ac:dyDescent="0.35">
      <c r="A17" t="s">
        <v>68</v>
      </c>
      <c r="B17">
        <v>7.6</v>
      </c>
      <c r="C17" t="s">
        <v>171</v>
      </c>
      <c r="D17">
        <v>56</v>
      </c>
      <c r="E17" t="s">
        <v>172</v>
      </c>
      <c r="F17">
        <v>48.4</v>
      </c>
      <c r="G17">
        <v>640</v>
      </c>
      <c r="H17">
        <v>4.7999999999999996E-3</v>
      </c>
      <c r="I17">
        <v>-0.14000000000000001</v>
      </c>
      <c r="J17">
        <v>0.49</v>
      </c>
      <c r="K17">
        <v>-0.16</v>
      </c>
      <c r="L17">
        <v>0.44</v>
      </c>
      <c r="M17">
        <v>-0.27</v>
      </c>
      <c r="N17">
        <v>0.18</v>
      </c>
      <c r="O17">
        <v>35</v>
      </c>
      <c r="P17">
        <v>35</v>
      </c>
      <c r="Q17">
        <v>31</v>
      </c>
      <c r="R17" t="s">
        <v>22</v>
      </c>
      <c r="S17" t="s">
        <v>141</v>
      </c>
      <c r="T17" s="2">
        <f t="shared" si="0"/>
        <v>6.3684210526315788</v>
      </c>
    </row>
    <row r="18" spans="1:20" x14ac:dyDescent="0.35">
      <c r="A18" t="s">
        <v>71</v>
      </c>
      <c r="B18">
        <v>10</v>
      </c>
      <c r="C18" t="s">
        <v>173</v>
      </c>
      <c r="D18">
        <v>0.72</v>
      </c>
      <c r="E18" t="s">
        <v>174</v>
      </c>
      <c r="F18">
        <v>-9.2799999999999994</v>
      </c>
      <c r="G18">
        <v>-93</v>
      </c>
      <c r="H18">
        <v>5.1999999999999995E-4</v>
      </c>
      <c r="I18">
        <v>-3.5999999999999997E-2</v>
      </c>
      <c r="J18">
        <v>0.86</v>
      </c>
      <c r="K18">
        <v>8.9999999999999993E-3</v>
      </c>
      <c r="L18">
        <v>0.97</v>
      </c>
      <c r="M18">
        <v>-0.11</v>
      </c>
      <c r="N18">
        <v>0.57999999999999996</v>
      </c>
      <c r="O18">
        <v>19</v>
      </c>
      <c r="P18">
        <v>58</v>
      </c>
      <c r="Q18">
        <v>23</v>
      </c>
      <c r="R18" t="s">
        <v>22</v>
      </c>
      <c r="S18" t="s">
        <v>141</v>
      </c>
      <c r="T18" s="2">
        <f t="shared" si="0"/>
        <v>-0.92799999999999994</v>
      </c>
    </row>
    <row r="19" spans="1:20" x14ac:dyDescent="0.35">
      <c r="A19" t="s">
        <v>74</v>
      </c>
      <c r="B19">
        <v>17</v>
      </c>
      <c r="C19" t="s">
        <v>175</v>
      </c>
      <c r="D19">
        <v>26</v>
      </c>
      <c r="E19" t="s">
        <v>176</v>
      </c>
      <c r="F19">
        <v>9</v>
      </c>
      <c r="G19">
        <v>52</v>
      </c>
      <c r="H19">
        <v>0.23</v>
      </c>
      <c r="I19">
        <v>4.2999999999999997E-2</v>
      </c>
      <c r="J19">
        <v>0.83</v>
      </c>
      <c r="K19">
        <v>0.17</v>
      </c>
      <c r="L19">
        <v>0.42</v>
      </c>
      <c r="M19">
        <v>0.1</v>
      </c>
      <c r="N19">
        <v>0.63</v>
      </c>
      <c r="O19">
        <v>27</v>
      </c>
      <c r="P19">
        <v>50</v>
      </c>
      <c r="Q19">
        <v>23</v>
      </c>
      <c r="R19" t="s">
        <v>22</v>
      </c>
      <c r="S19" t="s">
        <v>141</v>
      </c>
      <c r="T19" s="2">
        <f t="shared" si="0"/>
        <v>0.52941176470588236</v>
      </c>
    </row>
    <row r="20" spans="1:20" x14ac:dyDescent="0.35">
      <c r="A20" t="s">
        <v>77</v>
      </c>
      <c r="B20">
        <v>22</v>
      </c>
      <c r="C20" t="s">
        <v>177</v>
      </c>
      <c r="D20">
        <v>68</v>
      </c>
      <c r="E20" t="s">
        <v>178</v>
      </c>
      <c r="F20">
        <v>46</v>
      </c>
      <c r="G20">
        <v>210</v>
      </c>
      <c r="H20">
        <v>7.3999999999999996E-2</v>
      </c>
      <c r="I20">
        <v>0.02</v>
      </c>
      <c r="J20">
        <v>0.92</v>
      </c>
      <c r="K20">
        <v>3.8E-3</v>
      </c>
      <c r="L20">
        <v>0.99</v>
      </c>
      <c r="M20">
        <v>9.2999999999999999E-2</v>
      </c>
      <c r="N20">
        <v>0.65</v>
      </c>
      <c r="O20">
        <v>35</v>
      </c>
      <c r="P20">
        <v>50</v>
      </c>
      <c r="Q20">
        <v>15</v>
      </c>
      <c r="R20" t="s">
        <v>22</v>
      </c>
      <c r="S20" t="s">
        <v>141</v>
      </c>
      <c r="T20" s="2">
        <f t="shared" si="0"/>
        <v>2.0909090909090908</v>
      </c>
    </row>
    <row r="21" spans="1:20" x14ac:dyDescent="0.35">
      <c r="A21" t="s">
        <v>81</v>
      </c>
      <c r="B21">
        <v>1.9</v>
      </c>
      <c r="C21" t="s">
        <v>179</v>
      </c>
      <c r="D21">
        <v>150</v>
      </c>
      <c r="E21" t="s">
        <v>180</v>
      </c>
      <c r="F21">
        <v>148.1</v>
      </c>
      <c r="G21">
        <v>7400</v>
      </c>
      <c r="H21">
        <v>2.3999999999999998E-3</v>
      </c>
      <c r="I21">
        <v>1.7999999999999999E-2</v>
      </c>
      <c r="J21">
        <v>0.93</v>
      </c>
      <c r="K21">
        <v>2.1999999999999999E-2</v>
      </c>
      <c r="L21">
        <v>0.91</v>
      </c>
      <c r="M21">
        <v>0.1</v>
      </c>
      <c r="N21">
        <v>0.62</v>
      </c>
      <c r="O21">
        <v>27</v>
      </c>
      <c r="P21">
        <v>54</v>
      </c>
      <c r="Q21">
        <v>19</v>
      </c>
      <c r="R21" t="s">
        <v>22</v>
      </c>
      <c r="S21" t="s">
        <v>141</v>
      </c>
      <c r="T21" s="2">
        <f t="shared" si="0"/>
        <v>77.94736842105263</v>
      </c>
    </row>
    <row r="22" spans="1:20" x14ac:dyDescent="0.35">
      <c r="A22" t="s">
        <v>84</v>
      </c>
      <c r="B22">
        <v>1.9</v>
      </c>
      <c r="C22" t="s">
        <v>179</v>
      </c>
      <c r="D22">
        <v>18</v>
      </c>
      <c r="E22" t="s">
        <v>181</v>
      </c>
      <c r="F22">
        <v>16.100000000000001</v>
      </c>
      <c r="G22">
        <v>800</v>
      </c>
      <c r="H22">
        <v>0.25</v>
      </c>
      <c r="I22">
        <v>-9.4E-2</v>
      </c>
      <c r="J22">
        <v>0.65</v>
      </c>
      <c r="K22">
        <v>-6.3E-2</v>
      </c>
      <c r="L22">
        <v>0.76</v>
      </c>
      <c r="M22">
        <v>-0.13</v>
      </c>
      <c r="N22">
        <v>0.53</v>
      </c>
      <c r="O22">
        <v>69</v>
      </c>
      <c r="P22">
        <v>19</v>
      </c>
      <c r="Q22">
        <v>12</v>
      </c>
      <c r="R22" t="s">
        <v>22</v>
      </c>
      <c r="S22" t="s">
        <v>141</v>
      </c>
      <c r="T22" s="2">
        <f t="shared" si="0"/>
        <v>8.4736842105263168</v>
      </c>
    </row>
    <row r="23" spans="1:20" x14ac:dyDescent="0.35">
      <c r="A23" t="s">
        <v>88</v>
      </c>
      <c r="B23">
        <v>8.3000000000000007</v>
      </c>
      <c r="C23" t="s">
        <v>182</v>
      </c>
      <c r="D23">
        <v>46</v>
      </c>
      <c r="E23" t="s">
        <v>183</v>
      </c>
      <c r="F23">
        <v>37.700000000000003</v>
      </c>
      <c r="G23">
        <v>460</v>
      </c>
      <c r="H23">
        <v>4.3999999999999997E-2</v>
      </c>
      <c r="I23">
        <v>0.24</v>
      </c>
      <c r="J23">
        <v>0.23</v>
      </c>
      <c r="K23">
        <v>0.35</v>
      </c>
      <c r="L23">
        <v>8.4000000000000005E-2</v>
      </c>
      <c r="M23">
        <v>0.31</v>
      </c>
      <c r="N23">
        <v>0.12</v>
      </c>
      <c r="O23">
        <v>54</v>
      </c>
      <c r="P23">
        <v>35</v>
      </c>
      <c r="Q23">
        <v>12</v>
      </c>
      <c r="R23" t="s">
        <v>22</v>
      </c>
      <c r="S23" t="s">
        <v>141</v>
      </c>
      <c r="T23" s="2">
        <f t="shared" si="0"/>
        <v>4.5421686746987948</v>
      </c>
    </row>
    <row r="24" spans="1:20" x14ac:dyDescent="0.35">
      <c r="A24" t="s">
        <v>91</v>
      </c>
      <c r="B24">
        <v>24</v>
      </c>
      <c r="R24" t="s">
        <v>87</v>
      </c>
      <c r="S24" t="s">
        <v>141</v>
      </c>
      <c r="T24" s="2">
        <f t="shared" si="0"/>
        <v>-1</v>
      </c>
    </row>
    <row r="25" spans="1:20" x14ac:dyDescent="0.35">
      <c r="A25" t="s">
        <v>92</v>
      </c>
      <c r="B25">
        <v>24</v>
      </c>
      <c r="R25" t="s">
        <v>87</v>
      </c>
      <c r="S25" t="s">
        <v>141</v>
      </c>
      <c r="T25" s="2">
        <f t="shared" si="0"/>
        <v>-1</v>
      </c>
    </row>
    <row r="26" spans="1:20" x14ac:dyDescent="0.35">
      <c r="A26" t="s">
        <v>93</v>
      </c>
      <c r="B26">
        <v>450</v>
      </c>
      <c r="C26" t="s">
        <v>184</v>
      </c>
      <c r="D26">
        <v>210</v>
      </c>
      <c r="E26" t="s">
        <v>185</v>
      </c>
      <c r="F26">
        <v>-240</v>
      </c>
      <c r="G26">
        <v>-53</v>
      </c>
      <c r="H26">
        <v>2.7000000000000001E-3</v>
      </c>
      <c r="I26">
        <v>0.31</v>
      </c>
      <c r="J26">
        <v>0.12</v>
      </c>
      <c r="K26">
        <v>0.21</v>
      </c>
      <c r="L26">
        <v>0.31</v>
      </c>
      <c r="M26">
        <v>0.32</v>
      </c>
      <c r="N26">
        <v>0.11</v>
      </c>
      <c r="O26">
        <v>23</v>
      </c>
      <c r="P26">
        <v>58</v>
      </c>
      <c r="Q26">
        <v>19</v>
      </c>
      <c r="R26" t="s">
        <v>22</v>
      </c>
      <c r="S26" t="s">
        <v>141</v>
      </c>
      <c r="T26" s="2">
        <f t="shared" si="0"/>
        <v>-0.53333333333333333</v>
      </c>
    </row>
    <row r="27" spans="1:20" x14ac:dyDescent="0.35">
      <c r="A27" t="s">
        <v>96</v>
      </c>
      <c r="B27">
        <v>350</v>
      </c>
      <c r="C27" t="s">
        <v>186</v>
      </c>
      <c r="D27">
        <v>270</v>
      </c>
      <c r="E27" t="s">
        <v>187</v>
      </c>
      <c r="F27">
        <v>-80</v>
      </c>
      <c r="G27">
        <v>-24</v>
      </c>
      <c r="H27">
        <v>0.15</v>
      </c>
      <c r="I27">
        <v>0.18</v>
      </c>
      <c r="J27">
        <v>0.38</v>
      </c>
      <c r="K27">
        <v>0.26</v>
      </c>
      <c r="L27">
        <v>0.19</v>
      </c>
      <c r="M27">
        <v>2.3E-2</v>
      </c>
      <c r="N27">
        <v>0.91</v>
      </c>
      <c r="O27">
        <v>19</v>
      </c>
      <c r="P27">
        <v>65</v>
      </c>
      <c r="Q27">
        <v>15</v>
      </c>
      <c r="R27" t="s">
        <v>22</v>
      </c>
      <c r="S27" t="s">
        <v>141</v>
      </c>
      <c r="T27" s="2">
        <f t="shared" si="0"/>
        <v>-0.22857142857142856</v>
      </c>
    </row>
    <row r="28" spans="1:20" x14ac:dyDescent="0.35">
      <c r="A28" t="s">
        <v>99</v>
      </c>
      <c r="B28">
        <v>100</v>
      </c>
      <c r="C28" t="s">
        <v>188</v>
      </c>
      <c r="D28">
        <v>220</v>
      </c>
      <c r="E28" t="s">
        <v>189</v>
      </c>
      <c r="F28">
        <v>120</v>
      </c>
      <c r="G28">
        <v>120</v>
      </c>
      <c r="H28">
        <v>1.4999999999999999E-2</v>
      </c>
      <c r="I28">
        <v>-0.19</v>
      </c>
      <c r="J28">
        <v>0.36</v>
      </c>
      <c r="K28">
        <v>1.7000000000000001E-2</v>
      </c>
      <c r="L28">
        <v>0.94</v>
      </c>
      <c r="M28">
        <v>-3.4000000000000002E-2</v>
      </c>
      <c r="N28">
        <v>0.87</v>
      </c>
      <c r="O28">
        <v>23</v>
      </c>
      <c r="P28">
        <v>42</v>
      </c>
      <c r="Q28">
        <v>35</v>
      </c>
      <c r="R28" t="s">
        <v>22</v>
      </c>
      <c r="S28" t="s">
        <v>141</v>
      </c>
      <c r="T28" s="2">
        <f t="shared" si="0"/>
        <v>1.2</v>
      </c>
    </row>
    <row r="29" spans="1:20" x14ac:dyDescent="0.35">
      <c r="A29" t="s">
        <v>102</v>
      </c>
      <c r="B29">
        <v>39</v>
      </c>
      <c r="C29" t="s">
        <v>190</v>
      </c>
      <c r="D29">
        <v>97</v>
      </c>
      <c r="E29" t="s">
        <v>191</v>
      </c>
      <c r="F29">
        <v>58</v>
      </c>
      <c r="G29">
        <v>150</v>
      </c>
      <c r="H29">
        <v>0.03</v>
      </c>
      <c r="I29">
        <v>5.2999999999999999E-2</v>
      </c>
      <c r="J29">
        <v>0.8</v>
      </c>
      <c r="K29">
        <v>0.06</v>
      </c>
      <c r="L29">
        <v>0.77</v>
      </c>
      <c r="M29">
        <v>0.14000000000000001</v>
      </c>
      <c r="N29">
        <v>0.48</v>
      </c>
      <c r="O29">
        <v>23</v>
      </c>
      <c r="P29">
        <v>54</v>
      </c>
      <c r="Q29">
        <v>23</v>
      </c>
      <c r="R29" t="s">
        <v>22</v>
      </c>
      <c r="S29" t="s">
        <v>141</v>
      </c>
      <c r="T29" s="2">
        <f t="shared" si="0"/>
        <v>1.4871794871794872</v>
      </c>
    </row>
    <row r="30" spans="1:20" x14ac:dyDescent="0.35">
      <c r="A30" t="s">
        <v>105</v>
      </c>
      <c r="B30">
        <v>17</v>
      </c>
      <c r="C30" t="s">
        <v>192</v>
      </c>
      <c r="D30">
        <v>16</v>
      </c>
      <c r="E30" t="s">
        <v>193</v>
      </c>
      <c r="F30">
        <v>-1</v>
      </c>
      <c r="G30">
        <v>-3.9</v>
      </c>
      <c r="H30">
        <v>0.91</v>
      </c>
      <c r="I30">
        <v>0.37</v>
      </c>
      <c r="J30">
        <v>6.2E-2</v>
      </c>
      <c r="K30">
        <v>0.45</v>
      </c>
      <c r="L30">
        <v>2.3E-2</v>
      </c>
      <c r="M30">
        <v>0.37</v>
      </c>
      <c r="N30">
        <v>6.0999999999999999E-2</v>
      </c>
      <c r="O30">
        <v>50</v>
      </c>
      <c r="P30">
        <v>31</v>
      </c>
      <c r="Q30">
        <v>19</v>
      </c>
      <c r="R30" t="s">
        <v>36</v>
      </c>
      <c r="S30" t="s">
        <v>141</v>
      </c>
      <c r="T30" s="2">
        <f t="shared" si="0"/>
        <v>-5.8823529411764705E-2</v>
      </c>
    </row>
    <row r="31" spans="1:20" x14ac:dyDescent="0.35">
      <c r="A31" t="s">
        <v>108</v>
      </c>
      <c r="B31">
        <v>18</v>
      </c>
      <c r="C31" t="s">
        <v>194</v>
      </c>
      <c r="D31">
        <v>38</v>
      </c>
      <c r="E31" t="s">
        <v>195</v>
      </c>
      <c r="F31">
        <v>20</v>
      </c>
      <c r="G31">
        <v>120</v>
      </c>
      <c r="H31">
        <v>4.4999999999999998E-2</v>
      </c>
      <c r="I31">
        <v>6.0000000000000001E-3</v>
      </c>
      <c r="J31">
        <v>0.98</v>
      </c>
      <c r="K31">
        <v>9.9000000000000005E-2</v>
      </c>
      <c r="L31">
        <v>0.63</v>
      </c>
      <c r="M31">
        <v>7.8E-2</v>
      </c>
      <c r="N31">
        <v>0.7</v>
      </c>
      <c r="O31">
        <v>23</v>
      </c>
      <c r="P31">
        <v>54</v>
      </c>
      <c r="Q31">
        <v>23</v>
      </c>
      <c r="R31" t="s">
        <v>22</v>
      </c>
      <c r="S31" t="s">
        <v>141</v>
      </c>
      <c r="T31" s="2">
        <f t="shared" si="0"/>
        <v>1.1111111111111112</v>
      </c>
    </row>
    <row r="32" spans="1:20" x14ac:dyDescent="0.35">
      <c r="A32" t="s">
        <v>111</v>
      </c>
      <c r="B32">
        <v>120</v>
      </c>
      <c r="C32" t="s">
        <v>196</v>
      </c>
      <c r="D32">
        <v>78</v>
      </c>
      <c r="E32" t="s">
        <v>197</v>
      </c>
      <c r="F32">
        <v>-42</v>
      </c>
      <c r="G32">
        <v>-32</v>
      </c>
      <c r="H32">
        <v>0.15</v>
      </c>
      <c r="I32">
        <v>0.34</v>
      </c>
      <c r="J32">
        <v>8.4000000000000005E-2</v>
      </c>
      <c r="K32">
        <v>0.4</v>
      </c>
      <c r="L32">
        <v>4.2999999999999997E-2</v>
      </c>
      <c r="M32">
        <v>5.5E-2</v>
      </c>
      <c r="N32">
        <v>0.79</v>
      </c>
      <c r="O32">
        <v>19</v>
      </c>
      <c r="P32">
        <v>58</v>
      </c>
      <c r="Q32">
        <v>23</v>
      </c>
      <c r="R32" t="s">
        <v>36</v>
      </c>
      <c r="S32" t="s">
        <v>141</v>
      </c>
      <c r="T32" s="2">
        <f t="shared" si="0"/>
        <v>-0.35</v>
      </c>
    </row>
    <row r="33" spans="1:20" x14ac:dyDescent="0.35">
      <c r="A33" t="s">
        <v>114</v>
      </c>
      <c r="B33">
        <v>32</v>
      </c>
      <c r="C33" t="s">
        <v>198</v>
      </c>
      <c r="D33">
        <v>130</v>
      </c>
      <c r="E33" t="s">
        <v>199</v>
      </c>
      <c r="F33">
        <v>98</v>
      </c>
      <c r="G33">
        <v>310</v>
      </c>
      <c r="H33">
        <v>1.8E-3</v>
      </c>
      <c r="I33">
        <v>-5.3999999999999999E-2</v>
      </c>
      <c r="J33">
        <v>0.79</v>
      </c>
      <c r="K33">
        <v>4.1000000000000002E-2</v>
      </c>
      <c r="L33">
        <v>0.84</v>
      </c>
      <c r="M33">
        <v>0.03</v>
      </c>
      <c r="N33">
        <v>0.89</v>
      </c>
      <c r="O33">
        <v>27</v>
      </c>
      <c r="P33">
        <v>46</v>
      </c>
      <c r="Q33">
        <v>27</v>
      </c>
      <c r="R33" t="s">
        <v>22</v>
      </c>
      <c r="S33" t="s">
        <v>141</v>
      </c>
      <c r="T33" s="2">
        <f t="shared" si="0"/>
        <v>3.0625</v>
      </c>
    </row>
    <row r="34" spans="1:20" x14ac:dyDescent="0.35">
      <c r="A34" t="s">
        <v>117</v>
      </c>
      <c r="B34">
        <v>5.7</v>
      </c>
      <c r="R34" t="s">
        <v>87</v>
      </c>
      <c r="S34" t="s">
        <v>141</v>
      </c>
      <c r="T34" s="2">
        <f t="shared" si="0"/>
        <v>-1</v>
      </c>
    </row>
    <row r="35" spans="1:20" x14ac:dyDescent="0.35">
      <c r="A35" t="s">
        <v>118</v>
      </c>
      <c r="B35">
        <v>52</v>
      </c>
      <c r="C35" t="s">
        <v>200</v>
      </c>
      <c r="D35">
        <v>49</v>
      </c>
      <c r="E35" t="s">
        <v>201</v>
      </c>
      <c r="F35">
        <v>-3</v>
      </c>
      <c r="G35">
        <v>-4.0999999999999996</v>
      </c>
      <c r="H35">
        <v>0.94</v>
      </c>
      <c r="I35">
        <v>-0.13</v>
      </c>
      <c r="J35">
        <v>0.52</v>
      </c>
      <c r="K35">
        <v>5.7999999999999996E-3</v>
      </c>
      <c r="L35">
        <v>0.98</v>
      </c>
      <c r="M35">
        <v>3.1E-2</v>
      </c>
      <c r="N35">
        <v>0.88</v>
      </c>
      <c r="O35">
        <v>19</v>
      </c>
      <c r="P35">
        <v>58</v>
      </c>
      <c r="Q35">
        <v>23</v>
      </c>
      <c r="R35" t="s">
        <v>22</v>
      </c>
      <c r="S35" t="s">
        <v>141</v>
      </c>
      <c r="T35" s="2">
        <f t="shared" si="0"/>
        <v>-5.7692307692307696E-2</v>
      </c>
    </row>
    <row r="36" spans="1:20" x14ac:dyDescent="0.35">
      <c r="A36" t="s">
        <v>121</v>
      </c>
      <c r="B36">
        <v>22</v>
      </c>
      <c r="C36" t="s">
        <v>202</v>
      </c>
      <c r="D36">
        <v>30</v>
      </c>
      <c r="E36" t="s">
        <v>203</v>
      </c>
      <c r="F36">
        <v>8</v>
      </c>
      <c r="G36">
        <v>38</v>
      </c>
      <c r="H36">
        <v>0.18</v>
      </c>
      <c r="I36">
        <v>0.11</v>
      </c>
      <c r="J36">
        <v>0.6</v>
      </c>
      <c r="K36">
        <v>0.17</v>
      </c>
      <c r="L36">
        <v>0.4</v>
      </c>
      <c r="M36">
        <v>0.13</v>
      </c>
      <c r="N36">
        <v>0.51</v>
      </c>
      <c r="O36">
        <v>42</v>
      </c>
      <c r="P36">
        <v>35</v>
      </c>
      <c r="Q36">
        <v>23</v>
      </c>
      <c r="R36" t="s">
        <v>22</v>
      </c>
      <c r="S36" t="s">
        <v>141</v>
      </c>
      <c r="T36" s="2">
        <f t="shared" si="0"/>
        <v>0.36363636363636365</v>
      </c>
    </row>
    <row r="37" spans="1:20" x14ac:dyDescent="0.35">
      <c r="A37" t="s">
        <v>124</v>
      </c>
      <c r="B37">
        <v>7.4</v>
      </c>
      <c r="C37" t="s">
        <v>204</v>
      </c>
      <c r="D37">
        <v>14</v>
      </c>
      <c r="E37" t="s">
        <v>205</v>
      </c>
      <c r="F37">
        <v>6.6</v>
      </c>
      <c r="G37">
        <v>92</v>
      </c>
      <c r="H37">
        <v>0.14000000000000001</v>
      </c>
      <c r="I37">
        <v>0.41</v>
      </c>
      <c r="J37">
        <v>3.9E-2</v>
      </c>
      <c r="K37">
        <v>0.39</v>
      </c>
      <c r="L37">
        <v>5.0999999999999997E-2</v>
      </c>
      <c r="M37">
        <v>0.51</v>
      </c>
      <c r="N37">
        <v>7.6E-3</v>
      </c>
      <c r="O37">
        <v>58</v>
      </c>
      <c r="P37">
        <v>38</v>
      </c>
      <c r="Q37">
        <v>3.8</v>
      </c>
      <c r="R37" t="s">
        <v>36</v>
      </c>
      <c r="S37" t="s">
        <v>141</v>
      </c>
      <c r="T37" s="2">
        <f t="shared" si="0"/>
        <v>0.89189189189189177</v>
      </c>
    </row>
    <row r="38" spans="1:20" x14ac:dyDescent="0.35">
      <c r="A38" t="s">
        <v>50</v>
      </c>
      <c r="B38">
        <v>48</v>
      </c>
      <c r="C38" t="s">
        <v>158</v>
      </c>
      <c r="D38">
        <v>67</v>
      </c>
      <c r="E38" t="s">
        <v>159</v>
      </c>
      <c r="F38">
        <v>19</v>
      </c>
      <c r="G38">
        <v>41</v>
      </c>
      <c r="H38">
        <v>0.39</v>
      </c>
      <c r="I38">
        <v>-0.22</v>
      </c>
      <c r="J38">
        <v>0.28999999999999998</v>
      </c>
      <c r="K38">
        <v>-7.2999999999999995E-2</v>
      </c>
      <c r="L38">
        <v>0.72</v>
      </c>
      <c r="M38">
        <v>-3.5000000000000003E-2</v>
      </c>
      <c r="N38">
        <v>0.86</v>
      </c>
      <c r="O38">
        <v>19</v>
      </c>
      <c r="P38">
        <v>54</v>
      </c>
      <c r="Q38">
        <v>27</v>
      </c>
      <c r="R38" t="s">
        <v>22</v>
      </c>
      <c r="S38" t="s">
        <v>141</v>
      </c>
      <c r="T38" s="2">
        <f t="shared" si="0"/>
        <v>0.39583333333333331</v>
      </c>
    </row>
    <row r="39" spans="1:20" x14ac:dyDescent="0.35">
      <c r="A39" t="s">
        <v>127</v>
      </c>
      <c r="B39">
        <v>5.9</v>
      </c>
      <c r="R39" t="s">
        <v>87</v>
      </c>
      <c r="S39" t="s">
        <v>141</v>
      </c>
      <c r="T39" s="2">
        <f t="shared" si="0"/>
        <v>-1</v>
      </c>
    </row>
    <row r="40" spans="1:20" x14ac:dyDescent="0.35">
      <c r="A40" t="s">
        <v>128</v>
      </c>
      <c r="B40">
        <v>26</v>
      </c>
      <c r="R40" t="s">
        <v>87</v>
      </c>
      <c r="S40" t="s">
        <v>141</v>
      </c>
      <c r="T40" s="2">
        <f t="shared" si="0"/>
        <v>-1</v>
      </c>
    </row>
    <row r="41" spans="1:20" x14ac:dyDescent="0.35">
      <c r="A41" t="s">
        <v>129</v>
      </c>
      <c r="B41">
        <v>0.42</v>
      </c>
      <c r="R41" t="s">
        <v>87</v>
      </c>
      <c r="S41" t="s">
        <v>141</v>
      </c>
      <c r="T41" s="2">
        <f t="shared" si="0"/>
        <v>-1</v>
      </c>
    </row>
    <row r="42" spans="1:20" x14ac:dyDescent="0.35">
      <c r="A42" t="s">
        <v>130</v>
      </c>
      <c r="B42">
        <v>1300</v>
      </c>
      <c r="C42" t="s">
        <v>206</v>
      </c>
      <c r="D42">
        <v>910</v>
      </c>
      <c r="E42" t="s">
        <v>207</v>
      </c>
      <c r="F42">
        <v>-390</v>
      </c>
      <c r="G42">
        <v>-31</v>
      </c>
      <c r="H42">
        <v>2.1999999999999999E-2</v>
      </c>
      <c r="I42">
        <v>-9.8000000000000004E-2</v>
      </c>
      <c r="J42">
        <v>0.63</v>
      </c>
      <c r="K42">
        <v>-0.2</v>
      </c>
      <c r="L42">
        <v>0.34</v>
      </c>
      <c r="M42">
        <v>-8.8999999999999996E-2</v>
      </c>
      <c r="N42">
        <v>0.67</v>
      </c>
      <c r="O42">
        <v>19</v>
      </c>
      <c r="P42">
        <v>58</v>
      </c>
      <c r="Q42">
        <v>23</v>
      </c>
      <c r="R42" t="s">
        <v>22</v>
      </c>
      <c r="S42" t="s">
        <v>141</v>
      </c>
      <c r="T42" s="2">
        <f t="shared" si="0"/>
        <v>-0.3</v>
      </c>
    </row>
    <row r="43" spans="1:20" x14ac:dyDescent="0.35">
      <c r="A43" t="s">
        <v>133</v>
      </c>
      <c r="B43">
        <v>1400</v>
      </c>
      <c r="C43" t="s">
        <v>208</v>
      </c>
      <c r="D43">
        <v>1200</v>
      </c>
      <c r="E43" t="s">
        <v>209</v>
      </c>
      <c r="F43">
        <v>-200</v>
      </c>
      <c r="G43">
        <v>-11</v>
      </c>
      <c r="H43">
        <v>0.39</v>
      </c>
      <c r="I43">
        <v>-0.27</v>
      </c>
      <c r="J43">
        <v>0.18</v>
      </c>
      <c r="K43">
        <v>5.8999999999999999E-3</v>
      </c>
      <c r="L43">
        <v>0.98</v>
      </c>
      <c r="M43">
        <v>-0.31</v>
      </c>
      <c r="N43">
        <v>0.13</v>
      </c>
      <c r="O43">
        <v>12</v>
      </c>
      <c r="P43">
        <v>54</v>
      </c>
      <c r="Q43">
        <v>35</v>
      </c>
      <c r="R43" t="s">
        <v>22</v>
      </c>
      <c r="S43" t="s">
        <v>141</v>
      </c>
      <c r="T43" s="2">
        <f t="shared" si="0"/>
        <v>-0.14285714285714285</v>
      </c>
    </row>
    <row r="44" spans="1:20" x14ac:dyDescent="0.35">
      <c r="A44" t="s">
        <v>136</v>
      </c>
      <c r="B44">
        <v>2400</v>
      </c>
      <c r="C44" t="s">
        <v>210</v>
      </c>
      <c r="D44">
        <v>2300</v>
      </c>
      <c r="E44" t="s">
        <v>211</v>
      </c>
      <c r="F44">
        <v>-100</v>
      </c>
      <c r="G44">
        <v>-5</v>
      </c>
      <c r="H44">
        <v>0.73</v>
      </c>
      <c r="I44">
        <v>-0.19</v>
      </c>
      <c r="J44">
        <v>0.35</v>
      </c>
      <c r="K44">
        <v>-0.14000000000000001</v>
      </c>
      <c r="L44">
        <v>0.49</v>
      </c>
      <c r="M44">
        <v>-0.23</v>
      </c>
      <c r="N44">
        <v>0.26</v>
      </c>
      <c r="O44">
        <v>19</v>
      </c>
      <c r="P44">
        <v>62</v>
      </c>
      <c r="Q44">
        <v>19</v>
      </c>
      <c r="R44" t="s">
        <v>22</v>
      </c>
      <c r="S44" t="s">
        <v>141</v>
      </c>
      <c r="T44" s="2">
        <f t="shared" si="0"/>
        <v>-4.1666666666666664E-2</v>
      </c>
    </row>
  </sheetData>
  <autoFilter ref="A1:T44" xr:uid="{EDA7CF9E-C857-4CFC-8C3F-F047F0545EFF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topLeftCell="F1" workbookViewId="0">
      <selection activeCell="I1" sqref="I1:I1048576"/>
    </sheetView>
  </sheetViews>
  <sheetFormatPr baseColWidth="10" defaultRowHeight="14.5" x14ac:dyDescent="0.35"/>
  <cols>
    <col min="20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632</v>
      </c>
    </row>
    <row r="2" spans="1:20" x14ac:dyDescent="0.35">
      <c r="A2" t="s">
        <v>19</v>
      </c>
      <c r="B2">
        <v>72</v>
      </c>
      <c r="C2" t="s">
        <v>212</v>
      </c>
      <c r="D2">
        <v>63</v>
      </c>
      <c r="E2" t="s">
        <v>213</v>
      </c>
      <c r="F2">
        <v>-9</v>
      </c>
      <c r="G2">
        <v>-13</v>
      </c>
      <c r="H2">
        <v>0.4</v>
      </c>
      <c r="I2">
        <v>0.26</v>
      </c>
      <c r="J2">
        <v>3.1E-2</v>
      </c>
      <c r="K2">
        <v>0.21</v>
      </c>
      <c r="L2">
        <v>8.2000000000000003E-2</v>
      </c>
      <c r="M2">
        <v>0.41</v>
      </c>
      <c r="N2">
        <v>5.4000000000000001E-4</v>
      </c>
      <c r="O2">
        <v>36</v>
      </c>
      <c r="P2">
        <v>52</v>
      </c>
      <c r="Q2">
        <v>12</v>
      </c>
      <c r="R2" t="s">
        <v>36</v>
      </c>
      <c r="S2" t="s">
        <v>214</v>
      </c>
      <c r="T2" s="2">
        <f>(D2-B2)/B2</f>
        <v>-0.125</v>
      </c>
    </row>
    <row r="3" spans="1:20" x14ac:dyDescent="0.35">
      <c r="A3" t="s">
        <v>24</v>
      </c>
      <c r="B3">
        <v>4.8</v>
      </c>
      <c r="C3" t="s">
        <v>215</v>
      </c>
      <c r="D3">
        <v>4.8</v>
      </c>
      <c r="E3" t="s">
        <v>216</v>
      </c>
      <c r="F3">
        <v>0</v>
      </c>
      <c r="G3">
        <v>-1.1000000000000001</v>
      </c>
      <c r="H3">
        <v>0.98</v>
      </c>
      <c r="I3">
        <v>-6.9000000000000006E-2</v>
      </c>
      <c r="J3">
        <v>0.56999999999999995</v>
      </c>
      <c r="K3">
        <v>-6.8000000000000005E-2</v>
      </c>
      <c r="L3">
        <v>0.57999999999999996</v>
      </c>
      <c r="M3">
        <v>-6.6000000000000003E-2</v>
      </c>
      <c r="N3">
        <v>0.59</v>
      </c>
      <c r="O3">
        <v>64</v>
      </c>
      <c r="P3">
        <v>25</v>
      </c>
      <c r="Q3">
        <v>12</v>
      </c>
      <c r="R3" t="s">
        <v>22</v>
      </c>
      <c r="S3" t="s">
        <v>214</v>
      </c>
      <c r="T3" s="2">
        <f t="shared" ref="T3:T44" si="0">(D3-B3)/B3</f>
        <v>0</v>
      </c>
    </row>
    <row r="4" spans="1:20" x14ac:dyDescent="0.35">
      <c r="A4" t="s">
        <v>27</v>
      </c>
      <c r="B4">
        <v>81</v>
      </c>
      <c r="C4" t="s">
        <v>217</v>
      </c>
      <c r="D4">
        <v>79</v>
      </c>
      <c r="E4" t="s">
        <v>218</v>
      </c>
      <c r="F4">
        <v>-2</v>
      </c>
      <c r="G4">
        <v>-2.7</v>
      </c>
      <c r="H4">
        <v>0.89</v>
      </c>
      <c r="I4">
        <v>6.7000000000000004E-2</v>
      </c>
      <c r="J4">
        <v>0.59</v>
      </c>
      <c r="K4">
        <v>-6.1999999999999998E-3</v>
      </c>
      <c r="L4">
        <v>0.96</v>
      </c>
      <c r="M4">
        <v>0.14000000000000001</v>
      </c>
      <c r="N4">
        <v>0.25</v>
      </c>
      <c r="O4">
        <v>19</v>
      </c>
      <c r="P4">
        <v>65</v>
      </c>
      <c r="Q4">
        <v>16</v>
      </c>
      <c r="R4" t="s">
        <v>22</v>
      </c>
      <c r="S4" t="s">
        <v>214</v>
      </c>
      <c r="T4" s="2">
        <f t="shared" si="0"/>
        <v>-2.4691358024691357E-2</v>
      </c>
    </row>
    <row r="5" spans="1:20" x14ac:dyDescent="0.35">
      <c r="A5" t="s">
        <v>30</v>
      </c>
      <c r="B5">
        <v>140</v>
      </c>
      <c r="C5" t="s">
        <v>219</v>
      </c>
      <c r="D5">
        <v>150</v>
      </c>
      <c r="E5" t="s">
        <v>220</v>
      </c>
      <c r="F5">
        <v>10</v>
      </c>
      <c r="G5">
        <v>5.7</v>
      </c>
      <c r="H5">
        <v>0.81</v>
      </c>
      <c r="I5">
        <v>0.2</v>
      </c>
      <c r="J5">
        <v>0.1</v>
      </c>
      <c r="K5">
        <v>0.14000000000000001</v>
      </c>
      <c r="L5">
        <v>0.23</v>
      </c>
      <c r="M5">
        <v>0.32</v>
      </c>
      <c r="N5">
        <v>8.0999999999999996E-3</v>
      </c>
      <c r="O5">
        <v>30</v>
      </c>
      <c r="P5">
        <v>55</v>
      </c>
      <c r="Q5">
        <v>14</v>
      </c>
      <c r="R5" t="s">
        <v>22</v>
      </c>
      <c r="S5" t="s">
        <v>214</v>
      </c>
      <c r="T5" s="2">
        <f t="shared" si="0"/>
        <v>7.1428571428571425E-2</v>
      </c>
    </row>
    <row r="6" spans="1:20" x14ac:dyDescent="0.35">
      <c r="A6" t="s">
        <v>33</v>
      </c>
      <c r="B6">
        <v>43</v>
      </c>
      <c r="C6" t="s">
        <v>221</v>
      </c>
      <c r="D6">
        <v>33</v>
      </c>
      <c r="E6" t="s">
        <v>222</v>
      </c>
      <c r="F6">
        <v>-10</v>
      </c>
      <c r="G6">
        <v>-22</v>
      </c>
      <c r="H6">
        <v>0.2</v>
      </c>
      <c r="I6">
        <v>0.27</v>
      </c>
      <c r="J6">
        <v>2.3E-2</v>
      </c>
      <c r="K6">
        <v>0.31</v>
      </c>
      <c r="L6">
        <v>9.1000000000000004E-3</v>
      </c>
      <c r="M6">
        <v>0.38</v>
      </c>
      <c r="N6">
        <v>1.1000000000000001E-3</v>
      </c>
      <c r="O6">
        <v>25</v>
      </c>
      <c r="P6">
        <v>59</v>
      </c>
      <c r="Q6">
        <v>16</v>
      </c>
      <c r="R6" t="s">
        <v>22</v>
      </c>
      <c r="S6" t="s">
        <v>214</v>
      </c>
      <c r="T6" s="2">
        <f t="shared" si="0"/>
        <v>-0.23255813953488372</v>
      </c>
    </row>
    <row r="7" spans="1:20" x14ac:dyDescent="0.35">
      <c r="A7" t="s">
        <v>37</v>
      </c>
      <c r="B7">
        <v>150</v>
      </c>
      <c r="C7" t="s">
        <v>223</v>
      </c>
      <c r="D7">
        <v>250</v>
      </c>
      <c r="E7" t="s">
        <v>224</v>
      </c>
      <c r="F7">
        <v>100</v>
      </c>
      <c r="G7">
        <v>68</v>
      </c>
      <c r="H7">
        <v>4.0000000000000001E-3</v>
      </c>
      <c r="I7">
        <v>0.17</v>
      </c>
      <c r="J7">
        <v>0.15</v>
      </c>
      <c r="K7">
        <v>0.16</v>
      </c>
      <c r="L7">
        <v>0.18</v>
      </c>
      <c r="M7">
        <v>0.4</v>
      </c>
      <c r="N7">
        <v>7.6999999999999996E-4</v>
      </c>
      <c r="O7">
        <v>33</v>
      </c>
      <c r="P7">
        <v>57</v>
      </c>
      <c r="Q7">
        <v>10</v>
      </c>
      <c r="R7" t="s">
        <v>40</v>
      </c>
      <c r="S7" t="s">
        <v>214</v>
      </c>
      <c r="T7" s="2">
        <f t="shared" si="0"/>
        <v>0.66666666666666663</v>
      </c>
    </row>
    <row r="8" spans="1:20" x14ac:dyDescent="0.35">
      <c r="A8" t="s">
        <v>41</v>
      </c>
      <c r="B8">
        <v>1.8</v>
      </c>
      <c r="C8" t="s">
        <v>225</v>
      </c>
      <c r="D8">
        <v>3.5</v>
      </c>
      <c r="E8" t="s">
        <v>226</v>
      </c>
      <c r="F8">
        <v>1.7</v>
      </c>
      <c r="G8">
        <v>95</v>
      </c>
      <c r="H8">
        <v>0.24</v>
      </c>
      <c r="I8">
        <v>0.25</v>
      </c>
      <c r="J8">
        <v>4.2000000000000003E-2</v>
      </c>
      <c r="K8">
        <v>0.24</v>
      </c>
      <c r="L8">
        <v>4.2999999999999997E-2</v>
      </c>
      <c r="M8">
        <v>0.42</v>
      </c>
      <c r="N8">
        <v>3.1E-4</v>
      </c>
      <c r="O8">
        <v>78</v>
      </c>
      <c r="P8">
        <v>16</v>
      </c>
      <c r="Q8">
        <v>5.8</v>
      </c>
      <c r="R8" t="s">
        <v>36</v>
      </c>
      <c r="S8" t="s">
        <v>214</v>
      </c>
      <c r="T8" s="2">
        <f t="shared" si="0"/>
        <v>0.94444444444444442</v>
      </c>
    </row>
    <row r="9" spans="1:20" x14ac:dyDescent="0.35">
      <c r="A9" t="s">
        <v>44</v>
      </c>
      <c r="B9">
        <v>85</v>
      </c>
      <c r="C9" t="s">
        <v>227</v>
      </c>
      <c r="D9">
        <v>71</v>
      </c>
      <c r="E9" t="s">
        <v>228</v>
      </c>
      <c r="F9">
        <v>-14</v>
      </c>
      <c r="G9">
        <v>-17</v>
      </c>
      <c r="H9">
        <v>0.41</v>
      </c>
      <c r="I9">
        <v>0.25</v>
      </c>
      <c r="J9">
        <v>3.7999999999999999E-2</v>
      </c>
      <c r="K9">
        <v>0.25</v>
      </c>
      <c r="L9">
        <v>3.5999999999999997E-2</v>
      </c>
      <c r="M9">
        <v>0.38</v>
      </c>
      <c r="N9">
        <v>1.1000000000000001E-3</v>
      </c>
      <c r="O9">
        <v>35</v>
      </c>
      <c r="P9">
        <v>55</v>
      </c>
      <c r="Q9">
        <v>10</v>
      </c>
      <c r="R9" t="s">
        <v>22</v>
      </c>
      <c r="S9" t="s">
        <v>214</v>
      </c>
      <c r="T9" s="2">
        <f t="shared" si="0"/>
        <v>-0.16470588235294117</v>
      </c>
    </row>
    <row r="10" spans="1:20" x14ac:dyDescent="0.35">
      <c r="A10" t="s">
        <v>47</v>
      </c>
      <c r="B10">
        <v>190</v>
      </c>
      <c r="C10" t="s">
        <v>229</v>
      </c>
      <c r="D10">
        <v>310</v>
      </c>
      <c r="E10" t="s">
        <v>230</v>
      </c>
      <c r="F10">
        <v>120</v>
      </c>
      <c r="G10">
        <v>58</v>
      </c>
      <c r="H10">
        <v>9.5E-4</v>
      </c>
      <c r="I10">
        <v>0.35</v>
      </c>
      <c r="J10">
        <v>3.5000000000000001E-3</v>
      </c>
      <c r="K10">
        <v>0.38</v>
      </c>
      <c r="L10">
        <v>1.1000000000000001E-3</v>
      </c>
      <c r="M10">
        <v>0.4</v>
      </c>
      <c r="N10">
        <v>6.6E-4</v>
      </c>
      <c r="O10">
        <v>30</v>
      </c>
      <c r="P10">
        <v>59</v>
      </c>
      <c r="Q10">
        <v>10</v>
      </c>
      <c r="R10" t="s">
        <v>40</v>
      </c>
      <c r="S10" t="s">
        <v>214</v>
      </c>
      <c r="T10" s="2">
        <f t="shared" si="0"/>
        <v>0.63157894736842102</v>
      </c>
    </row>
    <row r="11" spans="1:20" x14ac:dyDescent="0.35">
      <c r="A11" t="s">
        <v>50</v>
      </c>
      <c r="B11">
        <v>18</v>
      </c>
      <c r="C11" t="s">
        <v>231</v>
      </c>
      <c r="D11">
        <v>23</v>
      </c>
      <c r="E11" t="s">
        <v>232</v>
      </c>
      <c r="F11">
        <v>5</v>
      </c>
      <c r="G11">
        <v>31</v>
      </c>
      <c r="H11">
        <v>0.33</v>
      </c>
      <c r="I11">
        <v>0.38</v>
      </c>
      <c r="J11">
        <v>1.1999999999999999E-3</v>
      </c>
      <c r="K11">
        <v>0.38</v>
      </c>
      <c r="L11">
        <v>1.2999999999999999E-3</v>
      </c>
      <c r="M11">
        <v>0.32</v>
      </c>
      <c r="N11">
        <v>7.4999999999999997E-3</v>
      </c>
      <c r="O11">
        <v>42</v>
      </c>
      <c r="P11">
        <v>42</v>
      </c>
      <c r="Q11">
        <v>16</v>
      </c>
      <c r="R11" t="s">
        <v>22</v>
      </c>
      <c r="S11" t="s">
        <v>214</v>
      </c>
      <c r="T11" s="2">
        <f t="shared" si="0"/>
        <v>0.27777777777777779</v>
      </c>
    </row>
    <row r="12" spans="1:20" x14ac:dyDescent="0.35">
      <c r="A12" t="s">
        <v>53</v>
      </c>
      <c r="B12">
        <v>5.5</v>
      </c>
      <c r="C12" t="s">
        <v>233</v>
      </c>
      <c r="D12">
        <v>3.5</v>
      </c>
      <c r="E12" t="s">
        <v>234</v>
      </c>
      <c r="F12">
        <v>-2</v>
      </c>
      <c r="G12">
        <v>-36</v>
      </c>
      <c r="H12">
        <v>0.24</v>
      </c>
      <c r="I12">
        <v>7.2999999999999995E-2</v>
      </c>
      <c r="J12">
        <v>0.55000000000000004</v>
      </c>
      <c r="K12">
        <v>6.3E-2</v>
      </c>
      <c r="L12">
        <v>0.6</v>
      </c>
      <c r="M12">
        <v>0.25</v>
      </c>
      <c r="N12">
        <v>3.9E-2</v>
      </c>
      <c r="O12">
        <v>57</v>
      </c>
      <c r="P12">
        <v>32</v>
      </c>
      <c r="Q12">
        <v>12</v>
      </c>
      <c r="R12" t="s">
        <v>22</v>
      </c>
      <c r="S12" t="s">
        <v>214</v>
      </c>
      <c r="T12" s="2">
        <f t="shared" si="0"/>
        <v>-0.36363636363636365</v>
      </c>
    </row>
    <row r="13" spans="1:20" x14ac:dyDescent="0.35">
      <c r="A13" t="s">
        <v>56</v>
      </c>
      <c r="B13">
        <v>14</v>
      </c>
      <c r="C13" t="s">
        <v>235</v>
      </c>
      <c r="D13">
        <v>11</v>
      </c>
      <c r="E13" t="s">
        <v>236</v>
      </c>
      <c r="F13">
        <v>-3</v>
      </c>
      <c r="G13">
        <v>-21</v>
      </c>
      <c r="H13">
        <v>0.33</v>
      </c>
      <c r="I13">
        <v>-2E-3</v>
      </c>
      <c r="J13">
        <v>0.99</v>
      </c>
      <c r="K13">
        <v>-5.4000000000000003E-3</v>
      </c>
      <c r="L13">
        <v>0.96</v>
      </c>
      <c r="M13">
        <v>7.6999999999999999E-2</v>
      </c>
      <c r="N13">
        <v>0.53</v>
      </c>
      <c r="O13">
        <v>17</v>
      </c>
      <c r="P13">
        <v>59</v>
      </c>
      <c r="Q13">
        <v>23</v>
      </c>
      <c r="R13" t="s">
        <v>22</v>
      </c>
      <c r="S13" t="s">
        <v>214</v>
      </c>
      <c r="T13" s="2">
        <f t="shared" si="0"/>
        <v>-0.21428571428571427</v>
      </c>
    </row>
    <row r="14" spans="1:20" x14ac:dyDescent="0.35">
      <c r="A14" t="s">
        <v>59</v>
      </c>
      <c r="B14">
        <v>88</v>
      </c>
      <c r="C14" t="s">
        <v>237</v>
      </c>
      <c r="D14">
        <v>44</v>
      </c>
      <c r="E14" t="s">
        <v>238</v>
      </c>
      <c r="F14">
        <v>-44</v>
      </c>
      <c r="G14">
        <v>-50</v>
      </c>
      <c r="H14">
        <v>3.0000000000000001E-5</v>
      </c>
      <c r="I14">
        <v>0.22</v>
      </c>
      <c r="J14">
        <v>6.5000000000000002E-2</v>
      </c>
      <c r="K14">
        <v>0.18</v>
      </c>
      <c r="L14">
        <v>0.15</v>
      </c>
      <c r="M14">
        <v>0.24</v>
      </c>
      <c r="N14">
        <v>4.2999999999999997E-2</v>
      </c>
      <c r="O14">
        <v>30</v>
      </c>
      <c r="P14">
        <v>52</v>
      </c>
      <c r="Q14">
        <v>17</v>
      </c>
      <c r="R14" t="s">
        <v>22</v>
      </c>
      <c r="S14" t="s">
        <v>214</v>
      </c>
      <c r="T14" s="2">
        <f t="shared" si="0"/>
        <v>-0.5</v>
      </c>
    </row>
    <row r="15" spans="1:20" x14ac:dyDescent="0.35">
      <c r="A15" t="s">
        <v>62</v>
      </c>
      <c r="B15">
        <v>3.3</v>
      </c>
      <c r="C15" t="s">
        <v>239</v>
      </c>
      <c r="D15">
        <v>2.9</v>
      </c>
      <c r="E15" t="s">
        <v>240</v>
      </c>
      <c r="F15">
        <v>-0.4</v>
      </c>
      <c r="G15">
        <v>-13</v>
      </c>
      <c r="H15">
        <v>0.79</v>
      </c>
      <c r="I15">
        <v>0.46</v>
      </c>
      <c r="J15">
        <v>5.7000000000000003E-5</v>
      </c>
      <c r="K15">
        <v>0.47</v>
      </c>
      <c r="L15">
        <v>4.8999999999999998E-5</v>
      </c>
      <c r="M15">
        <v>0.5</v>
      </c>
      <c r="N15">
        <v>1.4E-5</v>
      </c>
      <c r="O15">
        <v>75</v>
      </c>
      <c r="P15">
        <v>22</v>
      </c>
      <c r="Q15">
        <v>2.9</v>
      </c>
      <c r="R15" t="s">
        <v>162</v>
      </c>
      <c r="S15" t="s">
        <v>214</v>
      </c>
      <c r="T15" s="2">
        <f t="shared" si="0"/>
        <v>-0.12121212121212119</v>
      </c>
    </row>
    <row r="16" spans="1:20" x14ac:dyDescent="0.35">
      <c r="A16" t="s">
        <v>65</v>
      </c>
      <c r="B16">
        <v>16</v>
      </c>
      <c r="C16" t="s">
        <v>241</v>
      </c>
      <c r="D16">
        <v>18</v>
      </c>
      <c r="E16" t="s">
        <v>242</v>
      </c>
      <c r="F16">
        <v>2</v>
      </c>
      <c r="G16">
        <v>12</v>
      </c>
      <c r="H16">
        <v>0.63</v>
      </c>
      <c r="I16">
        <v>0.18</v>
      </c>
      <c r="J16">
        <v>0.13</v>
      </c>
      <c r="K16">
        <v>0.18</v>
      </c>
      <c r="L16">
        <v>0.15</v>
      </c>
      <c r="M16">
        <v>0.23</v>
      </c>
      <c r="N16">
        <v>6.2E-2</v>
      </c>
      <c r="O16">
        <v>33</v>
      </c>
      <c r="P16">
        <v>52</v>
      </c>
      <c r="Q16">
        <v>14</v>
      </c>
      <c r="R16" t="s">
        <v>22</v>
      </c>
      <c r="S16" t="s">
        <v>214</v>
      </c>
      <c r="T16" s="2">
        <f t="shared" si="0"/>
        <v>0.125</v>
      </c>
    </row>
    <row r="17" spans="1:20" x14ac:dyDescent="0.35">
      <c r="A17" t="s">
        <v>68</v>
      </c>
      <c r="B17">
        <v>9.9</v>
      </c>
      <c r="C17" t="s">
        <v>243</v>
      </c>
      <c r="D17">
        <v>14</v>
      </c>
      <c r="E17" t="s">
        <v>244</v>
      </c>
      <c r="F17">
        <v>4.0999999999999996</v>
      </c>
      <c r="G17">
        <v>39</v>
      </c>
      <c r="H17">
        <v>0.34</v>
      </c>
      <c r="I17">
        <v>0.21</v>
      </c>
      <c r="J17">
        <v>7.9000000000000001E-2</v>
      </c>
      <c r="K17">
        <v>0.19</v>
      </c>
      <c r="L17">
        <v>0.12</v>
      </c>
      <c r="M17">
        <v>0.2</v>
      </c>
      <c r="N17">
        <v>9.4E-2</v>
      </c>
      <c r="O17">
        <v>51</v>
      </c>
      <c r="P17">
        <v>33</v>
      </c>
      <c r="Q17">
        <v>16</v>
      </c>
      <c r="R17" t="s">
        <v>22</v>
      </c>
      <c r="S17" t="s">
        <v>214</v>
      </c>
      <c r="T17" s="2">
        <f t="shared" si="0"/>
        <v>0.41414141414141409</v>
      </c>
    </row>
    <row r="18" spans="1:20" x14ac:dyDescent="0.35">
      <c r="A18" t="s">
        <v>71</v>
      </c>
      <c r="B18">
        <v>21</v>
      </c>
      <c r="C18" t="s">
        <v>245</v>
      </c>
      <c r="D18">
        <v>28</v>
      </c>
      <c r="E18" t="s">
        <v>246</v>
      </c>
      <c r="F18">
        <v>7</v>
      </c>
      <c r="G18">
        <v>30</v>
      </c>
      <c r="H18">
        <v>0.37</v>
      </c>
      <c r="I18">
        <v>-6.7000000000000004E-2</v>
      </c>
      <c r="J18">
        <v>0.57999999999999996</v>
      </c>
      <c r="K18">
        <v>-8.2000000000000003E-2</v>
      </c>
      <c r="L18">
        <v>0.5</v>
      </c>
      <c r="M18">
        <v>0.28000000000000003</v>
      </c>
      <c r="N18">
        <v>2.1999999999999999E-2</v>
      </c>
      <c r="O18">
        <v>26</v>
      </c>
      <c r="P18">
        <v>61</v>
      </c>
      <c r="Q18">
        <v>13</v>
      </c>
      <c r="R18" t="s">
        <v>22</v>
      </c>
      <c r="S18" t="s">
        <v>214</v>
      </c>
      <c r="T18" s="2">
        <f t="shared" si="0"/>
        <v>0.33333333333333331</v>
      </c>
    </row>
    <row r="19" spans="1:20" x14ac:dyDescent="0.35">
      <c r="A19" t="s">
        <v>74</v>
      </c>
      <c r="B19">
        <v>15</v>
      </c>
      <c r="C19" t="s">
        <v>247</v>
      </c>
      <c r="D19">
        <v>17</v>
      </c>
      <c r="E19" t="s">
        <v>248</v>
      </c>
      <c r="F19">
        <v>2</v>
      </c>
      <c r="G19">
        <v>13</v>
      </c>
      <c r="H19">
        <v>0.67</v>
      </c>
      <c r="I19">
        <v>3.4000000000000002E-2</v>
      </c>
      <c r="J19">
        <v>0.78</v>
      </c>
      <c r="K19">
        <v>1.2E-2</v>
      </c>
      <c r="L19">
        <v>0.92</v>
      </c>
      <c r="M19">
        <v>0.1</v>
      </c>
      <c r="N19">
        <v>0.41</v>
      </c>
      <c r="O19">
        <v>28</v>
      </c>
      <c r="P19">
        <v>51</v>
      </c>
      <c r="Q19">
        <v>22</v>
      </c>
      <c r="R19" t="s">
        <v>22</v>
      </c>
      <c r="S19" t="s">
        <v>214</v>
      </c>
      <c r="T19" s="2">
        <f t="shared" si="0"/>
        <v>0.13333333333333333</v>
      </c>
    </row>
    <row r="20" spans="1:20" x14ac:dyDescent="0.35">
      <c r="A20" t="s">
        <v>77</v>
      </c>
      <c r="B20">
        <v>36</v>
      </c>
      <c r="C20" t="s">
        <v>249</v>
      </c>
      <c r="D20">
        <v>200</v>
      </c>
      <c r="E20" t="s">
        <v>250</v>
      </c>
      <c r="F20">
        <v>164</v>
      </c>
      <c r="G20">
        <v>450</v>
      </c>
      <c r="H20">
        <v>2.7000000000000001E-3</v>
      </c>
      <c r="I20">
        <v>0.38</v>
      </c>
      <c r="J20">
        <v>1.1000000000000001E-3</v>
      </c>
      <c r="K20">
        <v>0.39</v>
      </c>
      <c r="L20">
        <v>1E-3</v>
      </c>
      <c r="M20">
        <v>0.39</v>
      </c>
      <c r="N20">
        <v>8.0999999999999996E-4</v>
      </c>
      <c r="O20">
        <v>52</v>
      </c>
      <c r="P20">
        <v>38</v>
      </c>
      <c r="Q20">
        <v>10</v>
      </c>
      <c r="R20" t="s">
        <v>22</v>
      </c>
      <c r="S20" t="s">
        <v>214</v>
      </c>
      <c r="T20" s="2">
        <f t="shared" si="0"/>
        <v>4.5555555555555554</v>
      </c>
    </row>
    <row r="21" spans="1:20" x14ac:dyDescent="0.35">
      <c r="A21" t="s">
        <v>81</v>
      </c>
      <c r="B21">
        <v>81</v>
      </c>
      <c r="C21" t="s">
        <v>251</v>
      </c>
      <c r="D21">
        <v>74</v>
      </c>
      <c r="E21" t="s">
        <v>252</v>
      </c>
      <c r="F21">
        <v>-7</v>
      </c>
      <c r="G21">
        <v>-9.1</v>
      </c>
      <c r="H21">
        <v>0.78</v>
      </c>
      <c r="I21">
        <v>0.19</v>
      </c>
      <c r="J21">
        <v>0.11</v>
      </c>
      <c r="K21">
        <v>0.23</v>
      </c>
      <c r="L21">
        <v>5.6000000000000001E-2</v>
      </c>
      <c r="M21">
        <v>0.44</v>
      </c>
      <c r="N21">
        <v>1.9000000000000001E-4</v>
      </c>
      <c r="O21">
        <v>43</v>
      </c>
      <c r="P21">
        <v>46</v>
      </c>
      <c r="Q21">
        <v>10</v>
      </c>
      <c r="R21" t="s">
        <v>36</v>
      </c>
      <c r="S21" t="s">
        <v>214</v>
      </c>
      <c r="T21" s="2">
        <f t="shared" si="0"/>
        <v>-8.6419753086419748E-2</v>
      </c>
    </row>
    <row r="22" spans="1:20" x14ac:dyDescent="0.35">
      <c r="A22" t="s">
        <v>84</v>
      </c>
      <c r="B22">
        <v>45</v>
      </c>
      <c r="C22" t="s">
        <v>253</v>
      </c>
      <c r="D22">
        <v>140</v>
      </c>
      <c r="E22" t="s">
        <v>254</v>
      </c>
      <c r="F22">
        <v>95</v>
      </c>
      <c r="G22">
        <v>220</v>
      </c>
      <c r="H22">
        <v>0.12</v>
      </c>
      <c r="I22">
        <v>0.51</v>
      </c>
      <c r="J22">
        <v>8.3999999999999992E-6</v>
      </c>
      <c r="K22">
        <v>0.52</v>
      </c>
      <c r="L22">
        <v>5.3000000000000001E-6</v>
      </c>
      <c r="M22">
        <v>0.26</v>
      </c>
      <c r="N22">
        <v>2.9000000000000001E-2</v>
      </c>
      <c r="O22">
        <v>71</v>
      </c>
      <c r="P22">
        <v>19</v>
      </c>
      <c r="Q22">
        <v>10</v>
      </c>
      <c r="R22" t="s">
        <v>36</v>
      </c>
      <c r="S22" t="s">
        <v>214</v>
      </c>
      <c r="T22" s="2">
        <f t="shared" si="0"/>
        <v>2.1111111111111112</v>
      </c>
    </row>
    <row r="23" spans="1:20" x14ac:dyDescent="0.35">
      <c r="A23" t="s">
        <v>88</v>
      </c>
      <c r="B23">
        <v>79</v>
      </c>
      <c r="C23" t="s">
        <v>255</v>
      </c>
      <c r="D23">
        <v>160</v>
      </c>
      <c r="E23" t="s">
        <v>256</v>
      </c>
      <c r="F23">
        <v>81</v>
      </c>
      <c r="G23">
        <v>100</v>
      </c>
      <c r="H23">
        <v>0.23</v>
      </c>
      <c r="I23">
        <v>0.75</v>
      </c>
      <c r="J23">
        <v>9.1000000000000004E-14</v>
      </c>
      <c r="K23">
        <v>0.74</v>
      </c>
      <c r="L23">
        <v>2.6E-13</v>
      </c>
      <c r="M23">
        <v>0.41</v>
      </c>
      <c r="N23">
        <v>5.1999999999999995E-4</v>
      </c>
      <c r="O23">
        <v>25</v>
      </c>
      <c r="P23">
        <v>61</v>
      </c>
      <c r="Q23">
        <v>14</v>
      </c>
      <c r="R23" t="s">
        <v>80</v>
      </c>
      <c r="S23" t="s">
        <v>214</v>
      </c>
      <c r="T23" s="2">
        <f t="shared" si="0"/>
        <v>1.0253164556962024</v>
      </c>
    </row>
    <row r="24" spans="1:20" x14ac:dyDescent="0.35">
      <c r="A24" t="s">
        <v>91</v>
      </c>
      <c r="B24">
        <v>14</v>
      </c>
      <c r="C24" t="s">
        <v>257</v>
      </c>
      <c r="D24">
        <v>10</v>
      </c>
      <c r="E24" t="s">
        <v>258</v>
      </c>
      <c r="F24">
        <v>-4</v>
      </c>
      <c r="G24">
        <v>-29</v>
      </c>
      <c r="H24">
        <v>0.14000000000000001</v>
      </c>
      <c r="I24">
        <v>0.05</v>
      </c>
      <c r="J24">
        <v>0.68</v>
      </c>
      <c r="K24">
        <v>5.0999999999999997E-2</v>
      </c>
      <c r="L24">
        <v>0.68</v>
      </c>
      <c r="M24">
        <v>0.18</v>
      </c>
      <c r="N24">
        <v>0.14000000000000001</v>
      </c>
      <c r="O24">
        <v>36</v>
      </c>
      <c r="P24">
        <v>49</v>
      </c>
      <c r="Q24">
        <v>14</v>
      </c>
      <c r="R24" t="s">
        <v>22</v>
      </c>
      <c r="S24" t="s">
        <v>214</v>
      </c>
      <c r="T24" s="2">
        <f t="shared" si="0"/>
        <v>-0.2857142857142857</v>
      </c>
    </row>
    <row r="25" spans="1:20" x14ac:dyDescent="0.35">
      <c r="A25" t="s">
        <v>92</v>
      </c>
      <c r="B25">
        <v>28</v>
      </c>
      <c r="C25" t="s">
        <v>259</v>
      </c>
      <c r="D25">
        <v>18</v>
      </c>
      <c r="E25" t="s">
        <v>260</v>
      </c>
      <c r="F25">
        <v>-10</v>
      </c>
      <c r="G25">
        <v>-33</v>
      </c>
      <c r="H25">
        <v>7.0999999999999994E-2</v>
      </c>
      <c r="I25">
        <v>3.8999999999999998E-3</v>
      </c>
      <c r="J25">
        <v>0.97</v>
      </c>
      <c r="K25">
        <v>-7.0000000000000007E-2</v>
      </c>
      <c r="L25">
        <v>0.56999999999999995</v>
      </c>
      <c r="M25">
        <v>0.12</v>
      </c>
      <c r="N25">
        <v>0.33</v>
      </c>
      <c r="O25">
        <v>14</v>
      </c>
      <c r="P25">
        <v>67</v>
      </c>
      <c r="Q25">
        <v>19</v>
      </c>
      <c r="R25" t="s">
        <v>22</v>
      </c>
      <c r="S25" t="s">
        <v>214</v>
      </c>
      <c r="T25" s="2">
        <f t="shared" si="0"/>
        <v>-0.35714285714285715</v>
      </c>
    </row>
    <row r="26" spans="1:20" x14ac:dyDescent="0.35">
      <c r="A26" t="s">
        <v>93</v>
      </c>
      <c r="B26">
        <v>350</v>
      </c>
      <c r="C26" t="s">
        <v>261</v>
      </c>
      <c r="D26">
        <v>560</v>
      </c>
      <c r="E26" t="s">
        <v>262</v>
      </c>
      <c r="F26">
        <v>210</v>
      </c>
      <c r="G26">
        <v>61</v>
      </c>
      <c r="H26">
        <v>1.3999999999999999E-4</v>
      </c>
      <c r="I26">
        <v>0.37</v>
      </c>
      <c r="J26">
        <v>1.6000000000000001E-3</v>
      </c>
      <c r="K26">
        <v>0.4</v>
      </c>
      <c r="L26">
        <v>6.2E-4</v>
      </c>
      <c r="M26">
        <v>0.48</v>
      </c>
      <c r="N26">
        <v>3.1000000000000001E-5</v>
      </c>
      <c r="O26">
        <v>28</v>
      </c>
      <c r="P26">
        <v>65</v>
      </c>
      <c r="Q26">
        <v>7.2</v>
      </c>
      <c r="R26" t="s">
        <v>40</v>
      </c>
      <c r="S26" t="s">
        <v>214</v>
      </c>
      <c r="T26" s="2">
        <f t="shared" si="0"/>
        <v>0.6</v>
      </c>
    </row>
    <row r="27" spans="1:20" x14ac:dyDescent="0.35">
      <c r="A27" t="s">
        <v>96</v>
      </c>
      <c r="B27">
        <v>230</v>
      </c>
      <c r="C27" t="s">
        <v>263</v>
      </c>
      <c r="D27">
        <v>230</v>
      </c>
      <c r="E27" t="s">
        <v>264</v>
      </c>
      <c r="F27">
        <v>0</v>
      </c>
      <c r="G27">
        <v>2.7</v>
      </c>
      <c r="H27">
        <v>0.88</v>
      </c>
      <c r="I27">
        <v>0.28999999999999998</v>
      </c>
      <c r="J27">
        <v>1.7000000000000001E-2</v>
      </c>
      <c r="K27">
        <v>0.21</v>
      </c>
      <c r="L27">
        <v>8.2000000000000003E-2</v>
      </c>
      <c r="M27">
        <v>0.24</v>
      </c>
      <c r="N27">
        <v>4.7E-2</v>
      </c>
      <c r="O27">
        <v>19</v>
      </c>
      <c r="P27">
        <v>67</v>
      </c>
      <c r="Q27">
        <v>14</v>
      </c>
      <c r="R27" t="s">
        <v>22</v>
      </c>
      <c r="S27" t="s">
        <v>214</v>
      </c>
      <c r="T27" s="2">
        <f t="shared" si="0"/>
        <v>0</v>
      </c>
    </row>
    <row r="28" spans="1:20" x14ac:dyDescent="0.35">
      <c r="A28" t="s">
        <v>99</v>
      </c>
      <c r="B28">
        <v>210</v>
      </c>
      <c r="C28" t="s">
        <v>265</v>
      </c>
      <c r="D28">
        <v>180</v>
      </c>
      <c r="E28" t="s">
        <v>266</v>
      </c>
      <c r="F28">
        <v>-30</v>
      </c>
      <c r="G28">
        <v>-15</v>
      </c>
      <c r="H28">
        <v>0.37</v>
      </c>
      <c r="I28">
        <v>0.14000000000000001</v>
      </c>
      <c r="J28">
        <v>0.27</v>
      </c>
      <c r="K28">
        <v>0.18</v>
      </c>
      <c r="L28">
        <v>0.14000000000000001</v>
      </c>
      <c r="M28">
        <v>0.17</v>
      </c>
      <c r="N28">
        <v>0.17</v>
      </c>
      <c r="O28">
        <v>17</v>
      </c>
      <c r="P28">
        <v>62</v>
      </c>
      <c r="Q28">
        <v>20</v>
      </c>
      <c r="R28" t="s">
        <v>22</v>
      </c>
      <c r="S28" t="s">
        <v>214</v>
      </c>
      <c r="T28" s="2">
        <f t="shared" si="0"/>
        <v>-0.14285714285714285</v>
      </c>
    </row>
    <row r="29" spans="1:20" x14ac:dyDescent="0.35">
      <c r="A29" t="s">
        <v>102</v>
      </c>
      <c r="B29">
        <v>30</v>
      </c>
      <c r="C29" t="s">
        <v>267</v>
      </c>
      <c r="D29">
        <v>29</v>
      </c>
      <c r="E29" t="s">
        <v>268</v>
      </c>
      <c r="F29">
        <v>-1</v>
      </c>
      <c r="G29">
        <v>-3.5</v>
      </c>
      <c r="H29">
        <v>0.85</v>
      </c>
      <c r="I29">
        <v>5.8999999999999997E-2</v>
      </c>
      <c r="J29">
        <v>0.63</v>
      </c>
      <c r="K29">
        <v>4.8000000000000001E-2</v>
      </c>
      <c r="L29">
        <v>0.69</v>
      </c>
      <c r="M29">
        <v>8.5999999999999993E-2</v>
      </c>
      <c r="N29">
        <v>0.48</v>
      </c>
      <c r="O29">
        <v>13</v>
      </c>
      <c r="P29">
        <v>68</v>
      </c>
      <c r="Q29">
        <v>19</v>
      </c>
      <c r="R29" t="s">
        <v>22</v>
      </c>
      <c r="S29" t="s">
        <v>214</v>
      </c>
      <c r="T29" s="2">
        <f t="shared" si="0"/>
        <v>-3.3333333333333333E-2</v>
      </c>
    </row>
    <row r="30" spans="1:20" x14ac:dyDescent="0.35">
      <c r="A30" t="s">
        <v>105</v>
      </c>
      <c r="B30">
        <v>23</v>
      </c>
      <c r="C30" t="s">
        <v>269</v>
      </c>
      <c r="D30">
        <v>13</v>
      </c>
      <c r="E30" t="s">
        <v>270</v>
      </c>
      <c r="F30">
        <v>-10</v>
      </c>
      <c r="G30">
        <v>-42</v>
      </c>
      <c r="H30">
        <v>3.6999999999999998E-2</v>
      </c>
      <c r="I30">
        <v>0.5</v>
      </c>
      <c r="J30">
        <v>1.4E-5</v>
      </c>
      <c r="K30">
        <v>0.47</v>
      </c>
      <c r="L30">
        <v>4.5000000000000003E-5</v>
      </c>
      <c r="M30">
        <v>0.56999999999999995</v>
      </c>
      <c r="N30">
        <v>3.2000000000000001E-7</v>
      </c>
      <c r="O30">
        <v>43</v>
      </c>
      <c r="P30">
        <v>48</v>
      </c>
      <c r="Q30">
        <v>8.6999999999999993</v>
      </c>
      <c r="R30" t="s">
        <v>40</v>
      </c>
      <c r="S30" t="s">
        <v>214</v>
      </c>
      <c r="T30" s="2">
        <f t="shared" si="0"/>
        <v>-0.43478260869565216</v>
      </c>
    </row>
    <row r="31" spans="1:20" x14ac:dyDescent="0.35">
      <c r="A31" t="s">
        <v>108</v>
      </c>
      <c r="B31">
        <v>19</v>
      </c>
      <c r="C31" t="s">
        <v>271</v>
      </c>
      <c r="D31">
        <v>20</v>
      </c>
      <c r="E31" t="s">
        <v>272</v>
      </c>
      <c r="F31">
        <v>1</v>
      </c>
      <c r="G31">
        <v>8.8000000000000007</v>
      </c>
      <c r="H31">
        <v>0.76</v>
      </c>
      <c r="I31">
        <v>0.1</v>
      </c>
      <c r="J31">
        <v>0.39</v>
      </c>
      <c r="K31">
        <v>9.4E-2</v>
      </c>
      <c r="L31">
        <v>0.44</v>
      </c>
      <c r="M31">
        <v>0.16</v>
      </c>
      <c r="N31">
        <v>0.19</v>
      </c>
      <c r="O31">
        <v>25</v>
      </c>
      <c r="P31">
        <v>57</v>
      </c>
      <c r="Q31">
        <v>19</v>
      </c>
      <c r="R31" t="s">
        <v>22</v>
      </c>
      <c r="S31" t="s">
        <v>214</v>
      </c>
      <c r="T31" s="2">
        <f t="shared" si="0"/>
        <v>5.2631578947368418E-2</v>
      </c>
    </row>
    <row r="32" spans="1:20" x14ac:dyDescent="0.35">
      <c r="A32" t="s">
        <v>111</v>
      </c>
      <c r="B32">
        <v>110</v>
      </c>
      <c r="C32" t="s">
        <v>273</v>
      </c>
      <c r="D32">
        <v>77</v>
      </c>
      <c r="E32" t="s">
        <v>274</v>
      </c>
      <c r="F32">
        <v>-33</v>
      </c>
      <c r="G32">
        <v>-33</v>
      </c>
      <c r="H32">
        <v>5.0000000000000001E-3</v>
      </c>
      <c r="I32">
        <v>6.8000000000000005E-2</v>
      </c>
      <c r="J32">
        <v>0.57999999999999996</v>
      </c>
      <c r="K32">
        <v>7.6E-3</v>
      </c>
      <c r="L32">
        <v>0.95</v>
      </c>
      <c r="M32">
        <v>0.13</v>
      </c>
      <c r="N32">
        <v>0.3</v>
      </c>
      <c r="O32">
        <v>26</v>
      </c>
      <c r="P32">
        <v>55</v>
      </c>
      <c r="Q32">
        <v>19</v>
      </c>
      <c r="R32" t="s">
        <v>22</v>
      </c>
      <c r="S32" t="s">
        <v>214</v>
      </c>
      <c r="T32" s="2">
        <f t="shared" si="0"/>
        <v>-0.3</v>
      </c>
    </row>
    <row r="33" spans="1:20" x14ac:dyDescent="0.35">
      <c r="A33" t="s">
        <v>114</v>
      </c>
      <c r="B33">
        <v>160</v>
      </c>
      <c r="C33" t="s">
        <v>275</v>
      </c>
      <c r="D33">
        <v>500</v>
      </c>
      <c r="E33" t="s">
        <v>276</v>
      </c>
      <c r="F33">
        <v>340</v>
      </c>
      <c r="G33">
        <v>220</v>
      </c>
      <c r="H33">
        <v>2.0999999999999999E-3</v>
      </c>
      <c r="I33">
        <v>0.57999999999999996</v>
      </c>
      <c r="J33">
        <v>1.4999999999999999E-7</v>
      </c>
      <c r="K33">
        <v>0.59</v>
      </c>
      <c r="L33">
        <v>9.9999999999999995E-8</v>
      </c>
      <c r="M33">
        <v>0.43</v>
      </c>
      <c r="N33">
        <v>2.4000000000000001E-4</v>
      </c>
      <c r="O33">
        <v>35</v>
      </c>
      <c r="P33">
        <v>52</v>
      </c>
      <c r="Q33">
        <v>13</v>
      </c>
      <c r="R33" t="s">
        <v>40</v>
      </c>
      <c r="S33" t="s">
        <v>214</v>
      </c>
      <c r="T33" s="2">
        <f t="shared" si="0"/>
        <v>2.125</v>
      </c>
    </row>
    <row r="34" spans="1:20" x14ac:dyDescent="0.35">
      <c r="A34" t="s">
        <v>117</v>
      </c>
      <c r="B34">
        <v>12</v>
      </c>
      <c r="C34" t="s">
        <v>277</v>
      </c>
      <c r="D34">
        <v>1.5</v>
      </c>
      <c r="E34" t="s">
        <v>278</v>
      </c>
      <c r="F34">
        <v>-10.5</v>
      </c>
      <c r="G34">
        <v>-87</v>
      </c>
      <c r="H34">
        <v>1.5E-3</v>
      </c>
      <c r="I34">
        <v>-8.2000000000000007E-3</v>
      </c>
      <c r="J34">
        <v>0.95</v>
      </c>
      <c r="K34">
        <v>-2.5000000000000001E-2</v>
      </c>
      <c r="L34">
        <v>0.84</v>
      </c>
      <c r="M34">
        <v>6.8000000000000005E-2</v>
      </c>
      <c r="N34">
        <v>0.57999999999999996</v>
      </c>
      <c r="O34">
        <v>35</v>
      </c>
      <c r="P34">
        <v>54</v>
      </c>
      <c r="Q34">
        <v>12</v>
      </c>
      <c r="R34" t="s">
        <v>22</v>
      </c>
      <c r="S34" t="s">
        <v>214</v>
      </c>
      <c r="T34" s="2">
        <f t="shared" si="0"/>
        <v>-0.875</v>
      </c>
    </row>
    <row r="35" spans="1:20" x14ac:dyDescent="0.35">
      <c r="A35" t="s">
        <v>118</v>
      </c>
      <c r="B35">
        <v>22</v>
      </c>
      <c r="C35" t="s">
        <v>279</v>
      </c>
      <c r="D35">
        <v>32</v>
      </c>
      <c r="E35" t="s">
        <v>280</v>
      </c>
      <c r="F35">
        <v>10</v>
      </c>
      <c r="G35">
        <v>47</v>
      </c>
      <c r="H35">
        <v>0.2</v>
      </c>
      <c r="I35">
        <v>0.15</v>
      </c>
      <c r="J35">
        <v>0.23</v>
      </c>
      <c r="K35">
        <v>0.14000000000000001</v>
      </c>
      <c r="L35">
        <v>0.24</v>
      </c>
      <c r="M35">
        <v>0.11</v>
      </c>
      <c r="N35">
        <v>0.35</v>
      </c>
      <c r="O35">
        <v>17</v>
      </c>
      <c r="P35">
        <v>65</v>
      </c>
      <c r="Q35">
        <v>17</v>
      </c>
      <c r="R35" t="s">
        <v>22</v>
      </c>
      <c r="S35" t="s">
        <v>214</v>
      </c>
      <c r="T35" s="2">
        <f t="shared" si="0"/>
        <v>0.45454545454545453</v>
      </c>
    </row>
    <row r="36" spans="1:20" x14ac:dyDescent="0.35">
      <c r="A36" t="s">
        <v>121</v>
      </c>
      <c r="B36">
        <v>26</v>
      </c>
      <c r="C36" t="s">
        <v>281</v>
      </c>
      <c r="D36">
        <v>17</v>
      </c>
      <c r="E36" t="s">
        <v>282</v>
      </c>
      <c r="F36">
        <v>-9</v>
      </c>
      <c r="G36">
        <v>-35</v>
      </c>
      <c r="H36">
        <v>6.5000000000000002E-2</v>
      </c>
      <c r="I36">
        <v>-1.4999999999999999E-2</v>
      </c>
      <c r="J36">
        <v>0.9</v>
      </c>
      <c r="K36">
        <v>4.2999999999999997E-2</v>
      </c>
      <c r="L36">
        <v>0.73</v>
      </c>
      <c r="M36">
        <v>-4.9000000000000002E-2</v>
      </c>
      <c r="N36">
        <v>0.69</v>
      </c>
      <c r="O36">
        <v>16</v>
      </c>
      <c r="P36">
        <v>61</v>
      </c>
      <c r="Q36">
        <v>23</v>
      </c>
      <c r="R36" t="s">
        <v>22</v>
      </c>
      <c r="S36" t="s">
        <v>214</v>
      </c>
      <c r="T36" s="2">
        <f t="shared" si="0"/>
        <v>-0.34615384615384615</v>
      </c>
    </row>
    <row r="37" spans="1:20" x14ac:dyDescent="0.35">
      <c r="A37" t="s">
        <v>124</v>
      </c>
      <c r="B37">
        <v>36</v>
      </c>
      <c r="C37" t="s">
        <v>283</v>
      </c>
      <c r="D37">
        <v>31</v>
      </c>
      <c r="E37" t="s">
        <v>284</v>
      </c>
      <c r="F37">
        <v>-5</v>
      </c>
      <c r="G37">
        <v>-16</v>
      </c>
      <c r="H37">
        <v>0.64</v>
      </c>
      <c r="I37">
        <v>0.46</v>
      </c>
      <c r="J37">
        <v>6.7000000000000002E-5</v>
      </c>
      <c r="K37">
        <v>0.48</v>
      </c>
      <c r="L37">
        <v>3.4E-5</v>
      </c>
      <c r="M37">
        <v>0.35</v>
      </c>
      <c r="N37">
        <v>3.3E-3</v>
      </c>
      <c r="O37">
        <v>46</v>
      </c>
      <c r="P37">
        <v>38</v>
      </c>
      <c r="Q37">
        <v>16</v>
      </c>
      <c r="R37" t="s">
        <v>36</v>
      </c>
      <c r="S37" t="s">
        <v>214</v>
      </c>
      <c r="T37" s="2">
        <f t="shared" si="0"/>
        <v>-0.1388888888888889</v>
      </c>
    </row>
    <row r="38" spans="1:20" x14ac:dyDescent="0.35">
      <c r="A38" t="s">
        <v>50</v>
      </c>
      <c r="B38">
        <v>18</v>
      </c>
      <c r="C38" t="s">
        <v>231</v>
      </c>
      <c r="D38">
        <v>23</v>
      </c>
      <c r="E38" t="s">
        <v>232</v>
      </c>
      <c r="F38">
        <v>5</v>
      </c>
      <c r="G38">
        <v>31</v>
      </c>
      <c r="H38">
        <v>0.33</v>
      </c>
      <c r="I38">
        <v>0.38</v>
      </c>
      <c r="J38">
        <v>1.1999999999999999E-3</v>
      </c>
      <c r="K38">
        <v>0.38</v>
      </c>
      <c r="L38">
        <v>1.2999999999999999E-3</v>
      </c>
      <c r="M38">
        <v>0.32</v>
      </c>
      <c r="N38">
        <v>7.4999999999999997E-3</v>
      </c>
      <c r="O38">
        <v>42</v>
      </c>
      <c r="P38">
        <v>42</v>
      </c>
      <c r="Q38">
        <v>16</v>
      </c>
      <c r="R38" t="s">
        <v>22</v>
      </c>
      <c r="S38" t="s">
        <v>214</v>
      </c>
      <c r="T38" s="2">
        <f t="shared" si="0"/>
        <v>0.27777777777777779</v>
      </c>
    </row>
    <row r="39" spans="1:20" x14ac:dyDescent="0.35">
      <c r="A39" t="s">
        <v>127</v>
      </c>
      <c r="B39">
        <v>16</v>
      </c>
      <c r="C39" t="s">
        <v>285</v>
      </c>
      <c r="D39">
        <v>9.6</v>
      </c>
      <c r="E39" t="s">
        <v>286</v>
      </c>
      <c r="F39">
        <v>-6.4</v>
      </c>
      <c r="G39">
        <v>-38</v>
      </c>
      <c r="H39">
        <v>8.5000000000000006E-2</v>
      </c>
      <c r="I39">
        <v>-0.01</v>
      </c>
      <c r="J39">
        <v>0.93</v>
      </c>
      <c r="K39">
        <v>-3.3000000000000002E-2</v>
      </c>
      <c r="L39">
        <v>0.79</v>
      </c>
      <c r="M39">
        <v>8.5999999999999993E-2</v>
      </c>
      <c r="N39">
        <v>0.48</v>
      </c>
      <c r="O39">
        <v>20</v>
      </c>
      <c r="P39">
        <v>59</v>
      </c>
      <c r="Q39">
        <v>20</v>
      </c>
      <c r="R39" t="s">
        <v>22</v>
      </c>
      <c r="S39" t="s">
        <v>214</v>
      </c>
      <c r="T39" s="2">
        <f t="shared" si="0"/>
        <v>-0.4</v>
      </c>
    </row>
    <row r="40" spans="1:20" x14ac:dyDescent="0.35">
      <c r="A40" t="s">
        <v>128</v>
      </c>
      <c r="B40">
        <v>22</v>
      </c>
      <c r="C40" t="s">
        <v>287</v>
      </c>
      <c r="D40">
        <v>24</v>
      </c>
      <c r="E40" t="s">
        <v>288</v>
      </c>
      <c r="F40">
        <v>2</v>
      </c>
      <c r="G40">
        <v>8.1999999999999993</v>
      </c>
      <c r="H40">
        <v>0.8</v>
      </c>
      <c r="I40">
        <v>8.5000000000000006E-2</v>
      </c>
      <c r="J40">
        <v>0.49</v>
      </c>
      <c r="K40">
        <v>0.09</v>
      </c>
      <c r="L40">
        <v>0.46</v>
      </c>
      <c r="M40">
        <v>0.18</v>
      </c>
      <c r="N40">
        <v>0.14000000000000001</v>
      </c>
      <c r="O40">
        <v>39</v>
      </c>
      <c r="P40">
        <v>45</v>
      </c>
      <c r="Q40">
        <v>16</v>
      </c>
      <c r="R40" t="s">
        <v>22</v>
      </c>
      <c r="S40" t="s">
        <v>214</v>
      </c>
      <c r="T40" s="2">
        <f t="shared" si="0"/>
        <v>9.0909090909090912E-2</v>
      </c>
    </row>
    <row r="41" spans="1:20" x14ac:dyDescent="0.35">
      <c r="A41" t="s">
        <v>129</v>
      </c>
      <c r="B41">
        <v>110</v>
      </c>
      <c r="C41" t="s">
        <v>289</v>
      </c>
      <c r="D41">
        <v>560</v>
      </c>
      <c r="E41" t="s">
        <v>290</v>
      </c>
      <c r="F41">
        <v>450</v>
      </c>
      <c r="G41">
        <v>390</v>
      </c>
      <c r="H41">
        <v>4.6999999999999999E-4</v>
      </c>
      <c r="I41">
        <v>5.3999999999999999E-2</v>
      </c>
      <c r="J41">
        <v>0.66</v>
      </c>
      <c r="K41">
        <v>5.5E-2</v>
      </c>
      <c r="L41">
        <v>0.65</v>
      </c>
      <c r="M41">
        <v>0.15</v>
      </c>
      <c r="N41">
        <v>0.21</v>
      </c>
      <c r="O41">
        <v>35</v>
      </c>
      <c r="P41">
        <v>51</v>
      </c>
      <c r="Q41">
        <v>14</v>
      </c>
      <c r="R41" t="s">
        <v>22</v>
      </c>
      <c r="S41" t="s">
        <v>214</v>
      </c>
      <c r="T41" s="2">
        <f t="shared" si="0"/>
        <v>4.0909090909090908</v>
      </c>
    </row>
    <row r="42" spans="1:20" x14ac:dyDescent="0.35">
      <c r="A42" t="s">
        <v>130</v>
      </c>
      <c r="B42">
        <v>1100</v>
      </c>
      <c r="C42" t="s">
        <v>291</v>
      </c>
      <c r="D42">
        <v>1200</v>
      </c>
      <c r="E42" t="s">
        <v>292</v>
      </c>
      <c r="F42">
        <v>100</v>
      </c>
      <c r="G42">
        <v>12</v>
      </c>
      <c r="H42">
        <v>0.15</v>
      </c>
      <c r="I42">
        <v>0.28000000000000003</v>
      </c>
      <c r="J42">
        <v>1.9E-2</v>
      </c>
      <c r="K42">
        <v>0.3</v>
      </c>
      <c r="L42">
        <v>1.0999999999999999E-2</v>
      </c>
      <c r="M42">
        <v>0.31</v>
      </c>
      <c r="N42">
        <v>8.3999999999999995E-3</v>
      </c>
      <c r="O42">
        <v>25</v>
      </c>
      <c r="P42">
        <v>58</v>
      </c>
      <c r="Q42">
        <v>17</v>
      </c>
      <c r="R42" t="s">
        <v>22</v>
      </c>
      <c r="S42" t="s">
        <v>214</v>
      </c>
      <c r="T42" s="2">
        <f t="shared" si="0"/>
        <v>9.0909090909090912E-2</v>
      </c>
    </row>
    <row r="43" spans="1:20" x14ac:dyDescent="0.35">
      <c r="A43" t="s">
        <v>133</v>
      </c>
      <c r="B43">
        <v>1500</v>
      </c>
      <c r="C43" t="s">
        <v>293</v>
      </c>
      <c r="D43">
        <v>2400</v>
      </c>
      <c r="E43" t="s">
        <v>294</v>
      </c>
      <c r="F43">
        <v>900</v>
      </c>
      <c r="G43">
        <v>62</v>
      </c>
      <c r="H43">
        <v>8.1000000000000004E-5</v>
      </c>
      <c r="I43">
        <v>0.08</v>
      </c>
      <c r="J43">
        <v>0.51</v>
      </c>
      <c r="K43">
        <v>3.7999999999999999E-2</v>
      </c>
      <c r="L43">
        <v>0.76</v>
      </c>
      <c r="M43">
        <v>0.2</v>
      </c>
      <c r="N43">
        <v>0.1</v>
      </c>
      <c r="O43">
        <v>25</v>
      </c>
      <c r="P43">
        <v>62</v>
      </c>
      <c r="Q43">
        <v>13</v>
      </c>
      <c r="R43" t="s">
        <v>22</v>
      </c>
      <c r="S43" t="s">
        <v>214</v>
      </c>
      <c r="T43" s="2">
        <f t="shared" si="0"/>
        <v>0.6</v>
      </c>
    </row>
    <row r="44" spans="1:20" x14ac:dyDescent="0.35">
      <c r="A44" t="s">
        <v>136</v>
      </c>
      <c r="B44">
        <v>2100</v>
      </c>
      <c r="C44" t="s">
        <v>295</v>
      </c>
      <c r="D44">
        <v>2100</v>
      </c>
      <c r="E44" t="s">
        <v>296</v>
      </c>
      <c r="F44">
        <v>0</v>
      </c>
      <c r="G44">
        <v>1.2</v>
      </c>
      <c r="H44">
        <v>0.88</v>
      </c>
      <c r="I44">
        <v>0.16</v>
      </c>
      <c r="J44">
        <v>0.19</v>
      </c>
      <c r="K44">
        <v>-0.01</v>
      </c>
      <c r="L44">
        <v>0.93</v>
      </c>
      <c r="M44">
        <v>0.15</v>
      </c>
      <c r="N44">
        <v>0.21</v>
      </c>
      <c r="O44">
        <v>29</v>
      </c>
      <c r="P44">
        <v>49</v>
      </c>
      <c r="Q44">
        <v>22</v>
      </c>
      <c r="R44" t="s">
        <v>22</v>
      </c>
      <c r="S44" t="s">
        <v>214</v>
      </c>
      <c r="T44" s="2">
        <f t="shared" si="0"/>
        <v>0</v>
      </c>
    </row>
  </sheetData>
  <autoFilter ref="A1:T44" xr:uid="{8686380F-F3F6-41FA-89E3-547AED8B2278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4"/>
  <sheetViews>
    <sheetView tabSelected="1" workbookViewId="0">
      <selection activeCell="S26" sqref="S26"/>
    </sheetView>
  </sheetViews>
  <sheetFormatPr baseColWidth="10" defaultRowHeight="14.5" x14ac:dyDescent="0.35"/>
  <cols>
    <col min="20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632</v>
      </c>
    </row>
    <row r="2" spans="1:20" x14ac:dyDescent="0.35">
      <c r="A2" t="s">
        <v>19</v>
      </c>
      <c r="B2">
        <v>83</v>
      </c>
      <c r="C2" t="s">
        <v>297</v>
      </c>
      <c r="D2">
        <v>69</v>
      </c>
      <c r="E2" t="s">
        <v>298</v>
      </c>
      <c r="F2">
        <v>-14</v>
      </c>
      <c r="G2">
        <v>-17</v>
      </c>
      <c r="H2">
        <v>0.3</v>
      </c>
      <c r="I2">
        <v>0.11</v>
      </c>
      <c r="J2">
        <v>0.42</v>
      </c>
      <c r="K2">
        <v>8.1000000000000003E-2</v>
      </c>
      <c r="L2">
        <v>0.54</v>
      </c>
      <c r="M2">
        <v>0.21</v>
      </c>
      <c r="N2">
        <v>0.11</v>
      </c>
      <c r="O2">
        <v>25</v>
      </c>
      <c r="P2">
        <v>53</v>
      </c>
      <c r="Q2">
        <v>22</v>
      </c>
      <c r="R2" t="s">
        <v>22</v>
      </c>
      <c r="S2" t="s">
        <v>299</v>
      </c>
      <c r="T2" s="2">
        <f>(D2-B2)/B2</f>
        <v>-0.16867469879518071</v>
      </c>
    </row>
    <row r="3" spans="1:20" x14ac:dyDescent="0.35">
      <c r="A3" t="s">
        <v>24</v>
      </c>
      <c r="B3">
        <v>3.3</v>
      </c>
      <c r="C3" t="s">
        <v>300</v>
      </c>
      <c r="D3">
        <v>2.6</v>
      </c>
      <c r="E3" t="s">
        <v>301</v>
      </c>
      <c r="F3">
        <v>-0.7</v>
      </c>
      <c r="G3">
        <v>-20</v>
      </c>
      <c r="H3">
        <v>0.7</v>
      </c>
      <c r="I3">
        <v>3.5999999999999997E-2</v>
      </c>
      <c r="J3">
        <v>0.78</v>
      </c>
      <c r="K3">
        <v>2.1000000000000001E-2</v>
      </c>
      <c r="L3">
        <v>0.87</v>
      </c>
      <c r="M3">
        <v>0.13</v>
      </c>
      <c r="N3">
        <v>0.33</v>
      </c>
      <c r="O3">
        <v>78</v>
      </c>
      <c r="P3">
        <v>15</v>
      </c>
      <c r="Q3">
        <v>6.7</v>
      </c>
      <c r="R3" t="s">
        <v>22</v>
      </c>
      <c r="S3" t="s">
        <v>299</v>
      </c>
      <c r="T3" s="2">
        <f t="shared" ref="T3:T44" si="0">(D3-B3)/B3</f>
        <v>-0.21212121212121204</v>
      </c>
    </row>
    <row r="4" spans="1:20" x14ac:dyDescent="0.35">
      <c r="A4" t="s">
        <v>27</v>
      </c>
      <c r="B4">
        <v>73</v>
      </c>
      <c r="C4" t="s">
        <v>302</v>
      </c>
      <c r="D4">
        <v>85</v>
      </c>
      <c r="E4" t="s">
        <v>303</v>
      </c>
      <c r="F4">
        <v>12</v>
      </c>
      <c r="G4">
        <v>17</v>
      </c>
      <c r="H4">
        <v>0.38</v>
      </c>
      <c r="I4">
        <v>-7.9000000000000001E-2</v>
      </c>
      <c r="J4">
        <v>0.55000000000000004</v>
      </c>
      <c r="K4">
        <v>6.3E-2</v>
      </c>
      <c r="L4">
        <v>0.63</v>
      </c>
      <c r="M4">
        <v>3.3000000000000002E-2</v>
      </c>
      <c r="N4">
        <v>0.8</v>
      </c>
      <c r="O4">
        <v>22</v>
      </c>
      <c r="P4">
        <v>55</v>
      </c>
      <c r="Q4">
        <v>23</v>
      </c>
      <c r="R4" t="s">
        <v>22</v>
      </c>
      <c r="S4" t="s">
        <v>299</v>
      </c>
      <c r="T4" s="2">
        <f t="shared" si="0"/>
        <v>0.16438356164383561</v>
      </c>
    </row>
    <row r="5" spans="1:20" x14ac:dyDescent="0.35">
      <c r="A5" t="s">
        <v>30</v>
      </c>
      <c r="B5">
        <v>160</v>
      </c>
      <c r="C5" t="s">
        <v>304</v>
      </c>
      <c r="D5">
        <v>150</v>
      </c>
      <c r="E5" t="s">
        <v>305</v>
      </c>
      <c r="F5">
        <v>-10</v>
      </c>
      <c r="G5">
        <v>-11</v>
      </c>
      <c r="H5">
        <v>0.57999999999999996</v>
      </c>
      <c r="I5">
        <v>0.2</v>
      </c>
      <c r="J5">
        <v>0.13</v>
      </c>
      <c r="K5">
        <v>0.24</v>
      </c>
      <c r="L5">
        <v>6.4000000000000001E-2</v>
      </c>
      <c r="M5">
        <v>0.27</v>
      </c>
      <c r="N5">
        <v>3.5000000000000003E-2</v>
      </c>
      <c r="O5">
        <v>27</v>
      </c>
      <c r="P5">
        <v>58</v>
      </c>
      <c r="Q5">
        <v>15</v>
      </c>
      <c r="R5" t="s">
        <v>22</v>
      </c>
      <c r="S5" t="s">
        <v>299</v>
      </c>
      <c r="T5" s="2">
        <f t="shared" si="0"/>
        <v>-6.25E-2</v>
      </c>
    </row>
    <row r="6" spans="1:20" x14ac:dyDescent="0.35">
      <c r="A6" t="s">
        <v>33</v>
      </c>
      <c r="B6">
        <v>41</v>
      </c>
      <c r="C6" t="s">
        <v>306</v>
      </c>
      <c r="D6">
        <v>29</v>
      </c>
      <c r="E6" t="s">
        <v>307</v>
      </c>
      <c r="F6">
        <v>-12</v>
      </c>
      <c r="G6">
        <v>-30</v>
      </c>
      <c r="H6">
        <v>7.2999999999999995E-2</v>
      </c>
      <c r="I6">
        <v>0.59</v>
      </c>
      <c r="J6">
        <v>8.7000000000000003E-7</v>
      </c>
      <c r="K6">
        <v>0.56000000000000005</v>
      </c>
      <c r="L6">
        <v>3.1999999999999999E-6</v>
      </c>
      <c r="M6">
        <v>0.53</v>
      </c>
      <c r="N6">
        <v>1.2E-5</v>
      </c>
      <c r="O6">
        <v>32</v>
      </c>
      <c r="P6">
        <v>60</v>
      </c>
      <c r="Q6">
        <v>8.3000000000000007</v>
      </c>
      <c r="R6" t="s">
        <v>162</v>
      </c>
      <c r="S6" t="s">
        <v>299</v>
      </c>
      <c r="T6" s="2">
        <f t="shared" si="0"/>
        <v>-0.29268292682926828</v>
      </c>
    </row>
    <row r="7" spans="1:20" x14ac:dyDescent="0.35">
      <c r="A7" t="s">
        <v>37</v>
      </c>
      <c r="B7">
        <v>140</v>
      </c>
      <c r="C7" t="s">
        <v>308</v>
      </c>
      <c r="D7">
        <v>250</v>
      </c>
      <c r="E7" t="s">
        <v>309</v>
      </c>
      <c r="F7">
        <v>110</v>
      </c>
      <c r="G7">
        <v>82</v>
      </c>
      <c r="H7">
        <v>2.0999999999999999E-3</v>
      </c>
      <c r="I7">
        <v>0.39</v>
      </c>
      <c r="J7">
        <v>2.3E-3</v>
      </c>
      <c r="K7">
        <v>0.48</v>
      </c>
      <c r="L7">
        <v>1.2E-4</v>
      </c>
      <c r="M7">
        <v>0.49</v>
      </c>
      <c r="N7">
        <v>7.4999999999999993E-5</v>
      </c>
      <c r="O7">
        <v>38</v>
      </c>
      <c r="P7">
        <v>52</v>
      </c>
      <c r="Q7">
        <v>10</v>
      </c>
      <c r="R7" t="s">
        <v>40</v>
      </c>
      <c r="S7" t="s">
        <v>299</v>
      </c>
      <c r="T7" s="2">
        <f t="shared" si="0"/>
        <v>0.7857142857142857</v>
      </c>
    </row>
    <row r="8" spans="1:20" x14ac:dyDescent="0.35">
      <c r="A8" t="s">
        <v>41</v>
      </c>
      <c r="B8">
        <v>1.8</v>
      </c>
      <c r="C8" t="s">
        <v>310</v>
      </c>
      <c r="D8">
        <v>4.4000000000000004</v>
      </c>
      <c r="E8" t="s">
        <v>311</v>
      </c>
      <c r="F8">
        <v>2.6</v>
      </c>
      <c r="G8">
        <v>150</v>
      </c>
      <c r="H8">
        <v>0.14000000000000001</v>
      </c>
      <c r="I8">
        <v>-4.1000000000000002E-2</v>
      </c>
      <c r="J8">
        <v>0.75</v>
      </c>
      <c r="K8">
        <v>-0.04</v>
      </c>
      <c r="L8">
        <v>0.76</v>
      </c>
      <c r="M8">
        <v>5.8999999999999997E-2</v>
      </c>
      <c r="N8">
        <v>0.65</v>
      </c>
      <c r="O8">
        <v>58</v>
      </c>
      <c r="P8">
        <v>30</v>
      </c>
      <c r="Q8">
        <v>12</v>
      </c>
      <c r="R8" t="s">
        <v>22</v>
      </c>
      <c r="S8" t="s">
        <v>299</v>
      </c>
      <c r="T8" s="2">
        <f t="shared" si="0"/>
        <v>1.4444444444444446</v>
      </c>
    </row>
    <row r="9" spans="1:20" x14ac:dyDescent="0.35">
      <c r="A9" t="s">
        <v>44</v>
      </c>
      <c r="B9">
        <v>55</v>
      </c>
      <c r="C9" t="s">
        <v>312</v>
      </c>
      <c r="D9">
        <v>88</v>
      </c>
      <c r="E9" t="s">
        <v>313</v>
      </c>
      <c r="F9">
        <v>33</v>
      </c>
      <c r="G9">
        <v>60</v>
      </c>
      <c r="H9">
        <v>3.2000000000000001E-2</v>
      </c>
      <c r="I9">
        <v>0.23</v>
      </c>
      <c r="J9">
        <v>7.9000000000000001E-2</v>
      </c>
      <c r="K9">
        <v>0.23</v>
      </c>
      <c r="L9">
        <v>7.5999999999999998E-2</v>
      </c>
      <c r="M9">
        <v>0.21</v>
      </c>
      <c r="N9">
        <v>0.1</v>
      </c>
      <c r="O9">
        <v>33</v>
      </c>
      <c r="P9">
        <v>50</v>
      </c>
      <c r="Q9">
        <v>17</v>
      </c>
      <c r="R9" t="s">
        <v>22</v>
      </c>
      <c r="S9" t="s">
        <v>299</v>
      </c>
      <c r="T9" s="2">
        <f t="shared" si="0"/>
        <v>0.6</v>
      </c>
    </row>
    <row r="10" spans="1:20" x14ac:dyDescent="0.35">
      <c r="A10" t="s">
        <v>47</v>
      </c>
      <c r="B10">
        <v>150</v>
      </c>
      <c r="C10" t="s">
        <v>314</v>
      </c>
      <c r="D10">
        <v>290</v>
      </c>
      <c r="E10" t="s">
        <v>315</v>
      </c>
      <c r="F10">
        <v>140</v>
      </c>
      <c r="G10">
        <v>96</v>
      </c>
      <c r="H10">
        <v>3.8000000000000002E-5</v>
      </c>
      <c r="I10">
        <v>0.66</v>
      </c>
      <c r="J10">
        <v>1.3000000000000001E-8</v>
      </c>
      <c r="K10">
        <v>0.65</v>
      </c>
      <c r="L10">
        <v>2.7E-8</v>
      </c>
      <c r="M10">
        <v>0.67</v>
      </c>
      <c r="N10">
        <v>6.1E-9</v>
      </c>
      <c r="O10">
        <v>43</v>
      </c>
      <c r="P10">
        <v>55</v>
      </c>
      <c r="Q10">
        <v>1.7</v>
      </c>
      <c r="R10" t="s">
        <v>40</v>
      </c>
      <c r="S10" t="s">
        <v>299</v>
      </c>
      <c r="T10" s="2">
        <f t="shared" si="0"/>
        <v>0.93333333333333335</v>
      </c>
    </row>
    <row r="11" spans="1:20" x14ac:dyDescent="0.35">
      <c r="A11" t="s">
        <v>50</v>
      </c>
      <c r="B11">
        <v>23</v>
      </c>
      <c r="C11" t="s">
        <v>316</v>
      </c>
      <c r="D11">
        <v>32</v>
      </c>
      <c r="E11" t="s">
        <v>317</v>
      </c>
      <c r="F11">
        <v>9</v>
      </c>
      <c r="G11">
        <v>38</v>
      </c>
      <c r="H11">
        <v>0.24</v>
      </c>
      <c r="I11">
        <v>-8.7999999999999995E-2</v>
      </c>
      <c r="J11">
        <v>0.51</v>
      </c>
      <c r="K11">
        <v>-0.14000000000000001</v>
      </c>
      <c r="L11">
        <v>0.27</v>
      </c>
      <c r="M11">
        <v>9.1999999999999998E-2</v>
      </c>
      <c r="N11">
        <v>0.48</v>
      </c>
      <c r="O11">
        <v>28</v>
      </c>
      <c r="P11">
        <v>52</v>
      </c>
      <c r="Q11">
        <v>20</v>
      </c>
      <c r="R11" t="s">
        <v>22</v>
      </c>
      <c r="S11" t="s">
        <v>299</v>
      </c>
      <c r="T11" s="2">
        <f t="shared" si="0"/>
        <v>0.39130434782608697</v>
      </c>
    </row>
    <row r="12" spans="1:20" x14ac:dyDescent="0.35">
      <c r="A12" t="s">
        <v>53</v>
      </c>
      <c r="B12">
        <v>6.9</v>
      </c>
      <c r="C12" t="s">
        <v>318</v>
      </c>
      <c r="D12">
        <v>4</v>
      </c>
      <c r="E12" t="s">
        <v>319</v>
      </c>
      <c r="F12">
        <v>-2.9</v>
      </c>
      <c r="G12">
        <v>-41</v>
      </c>
      <c r="H12">
        <v>0.39</v>
      </c>
      <c r="I12">
        <v>0.05</v>
      </c>
      <c r="J12">
        <v>0.71</v>
      </c>
      <c r="K12">
        <v>6.4000000000000001E-2</v>
      </c>
      <c r="L12">
        <v>0.63</v>
      </c>
      <c r="M12">
        <v>6.8000000000000005E-2</v>
      </c>
      <c r="N12">
        <v>0.61</v>
      </c>
      <c r="O12">
        <v>55</v>
      </c>
      <c r="P12">
        <v>28</v>
      </c>
      <c r="Q12">
        <v>17</v>
      </c>
      <c r="R12" t="s">
        <v>22</v>
      </c>
      <c r="S12" t="s">
        <v>299</v>
      </c>
      <c r="T12" s="2">
        <f t="shared" si="0"/>
        <v>-0.4202898550724638</v>
      </c>
    </row>
    <row r="13" spans="1:20" x14ac:dyDescent="0.35">
      <c r="A13" t="s">
        <v>56</v>
      </c>
      <c r="B13">
        <v>30</v>
      </c>
      <c r="C13" t="s">
        <v>320</v>
      </c>
      <c r="D13">
        <v>10</v>
      </c>
      <c r="E13" t="s">
        <v>321</v>
      </c>
      <c r="F13">
        <v>-20</v>
      </c>
      <c r="G13">
        <v>-65</v>
      </c>
      <c r="H13">
        <v>2.5999999999999999E-2</v>
      </c>
      <c r="I13">
        <v>-0.1</v>
      </c>
      <c r="J13">
        <v>0.44</v>
      </c>
      <c r="K13">
        <v>-0.11</v>
      </c>
      <c r="L13">
        <v>0.41</v>
      </c>
      <c r="M13">
        <v>-9.7000000000000003E-2</v>
      </c>
      <c r="N13">
        <v>0.46</v>
      </c>
      <c r="O13">
        <v>35</v>
      </c>
      <c r="P13">
        <v>37</v>
      </c>
      <c r="Q13">
        <v>28</v>
      </c>
      <c r="R13" t="s">
        <v>22</v>
      </c>
      <c r="S13" t="s">
        <v>299</v>
      </c>
      <c r="T13" s="2">
        <f t="shared" si="0"/>
        <v>-0.66666666666666663</v>
      </c>
    </row>
    <row r="14" spans="1:20" x14ac:dyDescent="0.35">
      <c r="A14" t="s">
        <v>59</v>
      </c>
      <c r="B14">
        <v>77</v>
      </c>
      <c r="C14" t="s">
        <v>322</v>
      </c>
      <c r="D14">
        <v>47</v>
      </c>
      <c r="E14" t="s">
        <v>323</v>
      </c>
      <c r="F14">
        <v>-30</v>
      </c>
      <c r="G14">
        <v>-39</v>
      </c>
      <c r="H14">
        <v>2.3E-3</v>
      </c>
      <c r="I14">
        <v>0.39</v>
      </c>
      <c r="J14">
        <v>1.9E-3</v>
      </c>
      <c r="K14">
        <v>0.36</v>
      </c>
      <c r="L14">
        <v>4.5999999999999999E-3</v>
      </c>
      <c r="M14">
        <v>0.54</v>
      </c>
      <c r="N14">
        <v>7.0999999999999998E-6</v>
      </c>
      <c r="O14">
        <v>40</v>
      </c>
      <c r="P14">
        <v>52</v>
      </c>
      <c r="Q14">
        <v>8.3000000000000007</v>
      </c>
      <c r="R14" t="s">
        <v>40</v>
      </c>
      <c r="S14" t="s">
        <v>299</v>
      </c>
      <c r="T14" s="2">
        <f t="shared" si="0"/>
        <v>-0.38961038961038963</v>
      </c>
    </row>
    <row r="15" spans="1:20" x14ac:dyDescent="0.35">
      <c r="A15" t="s">
        <v>62</v>
      </c>
      <c r="B15">
        <v>2.9</v>
      </c>
      <c r="C15" t="s">
        <v>324</v>
      </c>
      <c r="D15">
        <v>6</v>
      </c>
      <c r="E15" t="s">
        <v>325</v>
      </c>
      <c r="F15">
        <v>3.1</v>
      </c>
      <c r="G15">
        <v>110</v>
      </c>
      <c r="H15">
        <v>0.16</v>
      </c>
      <c r="I15">
        <v>0.28000000000000003</v>
      </c>
      <c r="J15">
        <v>3.3000000000000002E-2</v>
      </c>
      <c r="K15">
        <v>0.25</v>
      </c>
      <c r="L15">
        <v>5.3999999999999999E-2</v>
      </c>
      <c r="M15">
        <v>0.3</v>
      </c>
      <c r="N15">
        <v>1.9E-2</v>
      </c>
      <c r="O15">
        <v>73</v>
      </c>
      <c r="P15">
        <v>18</v>
      </c>
      <c r="Q15">
        <v>8.3000000000000007</v>
      </c>
      <c r="R15" t="s">
        <v>22</v>
      </c>
      <c r="S15" t="s">
        <v>299</v>
      </c>
      <c r="T15" s="2">
        <f t="shared" si="0"/>
        <v>1.0689655172413794</v>
      </c>
    </row>
    <row r="16" spans="1:20" x14ac:dyDescent="0.35">
      <c r="A16" t="s">
        <v>65</v>
      </c>
      <c r="B16">
        <v>19</v>
      </c>
      <c r="C16" t="s">
        <v>326</v>
      </c>
      <c r="D16">
        <v>26</v>
      </c>
      <c r="E16" t="s">
        <v>327</v>
      </c>
      <c r="F16">
        <v>7</v>
      </c>
      <c r="G16">
        <v>37</v>
      </c>
      <c r="H16">
        <v>0.19</v>
      </c>
      <c r="I16">
        <v>0.39</v>
      </c>
      <c r="J16">
        <v>2.3E-3</v>
      </c>
      <c r="K16">
        <v>0.38</v>
      </c>
      <c r="L16">
        <v>3.0999999999999999E-3</v>
      </c>
      <c r="M16">
        <v>0.43</v>
      </c>
      <c r="N16">
        <v>5.5000000000000003E-4</v>
      </c>
      <c r="O16">
        <v>32</v>
      </c>
      <c r="P16">
        <v>53</v>
      </c>
      <c r="Q16">
        <v>15</v>
      </c>
      <c r="R16" t="s">
        <v>36</v>
      </c>
      <c r="S16" t="s">
        <v>299</v>
      </c>
      <c r="T16" s="2">
        <f t="shared" si="0"/>
        <v>0.36842105263157893</v>
      </c>
    </row>
    <row r="17" spans="1:20" x14ac:dyDescent="0.35">
      <c r="A17" t="s">
        <v>68</v>
      </c>
      <c r="B17">
        <v>9.3000000000000007</v>
      </c>
      <c r="C17" t="s">
        <v>328</v>
      </c>
      <c r="D17">
        <v>20</v>
      </c>
      <c r="E17" t="s">
        <v>329</v>
      </c>
      <c r="F17">
        <v>10.7</v>
      </c>
      <c r="G17">
        <v>110</v>
      </c>
      <c r="H17">
        <v>4.3999999999999997E-2</v>
      </c>
      <c r="I17">
        <v>0.45</v>
      </c>
      <c r="J17">
        <v>3.2000000000000003E-4</v>
      </c>
      <c r="K17">
        <v>0.46</v>
      </c>
      <c r="L17">
        <v>2.3000000000000001E-4</v>
      </c>
      <c r="M17">
        <v>0.33</v>
      </c>
      <c r="N17">
        <v>9.7999999999999997E-3</v>
      </c>
      <c r="O17">
        <v>52</v>
      </c>
      <c r="P17">
        <v>37</v>
      </c>
      <c r="Q17">
        <v>12</v>
      </c>
      <c r="R17" t="s">
        <v>40</v>
      </c>
      <c r="S17" t="s">
        <v>299</v>
      </c>
      <c r="T17" s="2">
        <f t="shared" si="0"/>
        <v>1.150537634408602</v>
      </c>
    </row>
    <row r="18" spans="1:20" x14ac:dyDescent="0.35">
      <c r="A18" t="s">
        <v>71</v>
      </c>
      <c r="B18">
        <v>8.9</v>
      </c>
      <c r="C18" t="s">
        <v>330</v>
      </c>
      <c r="D18">
        <v>32</v>
      </c>
      <c r="E18" t="s">
        <v>331</v>
      </c>
      <c r="F18">
        <v>23.1</v>
      </c>
      <c r="G18">
        <v>260</v>
      </c>
      <c r="H18">
        <v>3.6000000000000002E-4</v>
      </c>
      <c r="I18">
        <v>2.3E-2</v>
      </c>
      <c r="J18">
        <v>0.86</v>
      </c>
      <c r="K18">
        <v>1.4E-2</v>
      </c>
      <c r="L18">
        <v>0.91</v>
      </c>
      <c r="M18">
        <v>0.23</v>
      </c>
      <c r="N18">
        <v>8.2000000000000003E-2</v>
      </c>
      <c r="O18">
        <v>20</v>
      </c>
      <c r="P18">
        <v>55</v>
      </c>
      <c r="Q18">
        <v>25</v>
      </c>
      <c r="R18" t="s">
        <v>22</v>
      </c>
      <c r="S18" t="s">
        <v>299</v>
      </c>
      <c r="T18" s="2">
        <f t="shared" si="0"/>
        <v>2.595505617977528</v>
      </c>
    </row>
    <row r="19" spans="1:20" x14ac:dyDescent="0.35">
      <c r="A19" t="s">
        <v>74</v>
      </c>
      <c r="B19">
        <v>14</v>
      </c>
      <c r="C19" t="s">
        <v>332</v>
      </c>
      <c r="D19">
        <v>17</v>
      </c>
      <c r="E19" t="s">
        <v>333</v>
      </c>
      <c r="F19">
        <v>3</v>
      </c>
      <c r="G19">
        <v>16</v>
      </c>
      <c r="H19">
        <v>0.62</v>
      </c>
      <c r="I19">
        <v>0.15</v>
      </c>
      <c r="J19">
        <v>0.24</v>
      </c>
      <c r="K19">
        <v>0.15</v>
      </c>
      <c r="L19">
        <v>0.24</v>
      </c>
      <c r="M19">
        <v>0.37</v>
      </c>
      <c r="N19">
        <v>3.2000000000000002E-3</v>
      </c>
      <c r="O19">
        <v>47</v>
      </c>
      <c r="P19">
        <v>47</v>
      </c>
      <c r="Q19">
        <v>6.7</v>
      </c>
      <c r="R19" t="s">
        <v>22</v>
      </c>
      <c r="S19" t="s">
        <v>299</v>
      </c>
      <c r="T19" s="2">
        <f t="shared" si="0"/>
        <v>0.21428571428571427</v>
      </c>
    </row>
    <row r="20" spans="1:20" x14ac:dyDescent="0.35">
      <c r="A20" t="s">
        <v>77</v>
      </c>
      <c r="B20">
        <v>31</v>
      </c>
      <c r="C20" t="s">
        <v>334</v>
      </c>
      <c r="D20">
        <v>160</v>
      </c>
      <c r="E20" t="s">
        <v>335</v>
      </c>
      <c r="F20">
        <v>129</v>
      </c>
      <c r="G20">
        <v>420</v>
      </c>
      <c r="H20">
        <v>2.3999999999999998E-3</v>
      </c>
      <c r="I20">
        <v>0.46</v>
      </c>
      <c r="J20">
        <v>2.2000000000000001E-4</v>
      </c>
      <c r="K20">
        <v>0.46</v>
      </c>
      <c r="L20">
        <v>2.0000000000000001E-4</v>
      </c>
      <c r="M20">
        <v>0.33</v>
      </c>
      <c r="N20">
        <v>9.4000000000000004E-3</v>
      </c>
      <c r="O20">
        <v>55</v>
      </c>
      <c r="P20">
        <v>27</v>
      </c>
      <c r="Q20">
        <v>18</v>
      </c>
      <c r="R20" t="s">
        <v>40</v>
      </c>
      <c r="S20" t="s">
        <v>299</v>
      </c>
      <c r="T20" s="2">
        <f t="shared" si="0"/>
        <v>4.161290322580645</v>
      </c>
    </row>
    <row r="21" spans="1:20" x14ac:dyDescent="0.35">
      <c r="A21" t="s">
        <v>81</v>
      </c>
      <c r="B21">
        <v>46</v>
      </c>
      <c r="C21" t="s">
        <v>336</v>
      </c>
      <c r="D21">
        <v>60</v>
      </c>
      <c r="E21" t="s">
        <v>337</v>
      </c>
      <c r="F21">
        <v>14</v>
      </c>
      <c r="G21">
        <v>30</v>
      </c>
      <c r="H21">
        <v>0.45</v>
      </c>
      <c r="I21">
        <v>0.36</v>
      </c>
      <c r="J21">
        <v>4.5999999999999999E-3</v>
      </c>
      <c r="K21">
        <v>0.4</v>
      </c>
      <c r="L21">
        <v>1.6000000000000001E-3</v>
      </c>
      <c r="M21">
        <v>0.3</v>
      </c>
      <c r="N21">
        <v>1.7999999999999999E-2</v>
      </c>
      <c r="O21">
        <v>45</v>
      </c>
      <c r="P21">
        <v>45</v>
      </c>
      <c r="Q21">
        <v>10</v>
      </c>
      <c r="R21" t="s">
        <v>36</v>
      </c>
      <c r="S21" t="s">
        <v>299</v>
      </c>
      <c r="T21" s="2">
        <f t="shared" si="0"/>
        <v>0.30434782608695654</v>
      </c>
    </row>
    <row r="22" spans="1:20" x14ac:dyDescent="0.35">
      <c r="A22" t="s">
        <v>84</v>
      </c>
      <c r="B22">
        <v>59</v>
      </c>
      <c r="C22" t="s">
        <v>338</v>
      </c>
      <c r="D22">
        <v>120</v>
      </c>
      <c r="E22" t="s">
        <v>339</v>
      </c>
      <c r="F22">
        <v>61</v>
      </c>
      <c r="G22">
        <v>100</v>
      </c>
      <c r="H22">
        <v>0.42</v>
      </c>
      <c r="I22">
        <v>9.4E-2</v>
      </c>
      <c r="J22">
        <v>0.48</v>
      </c>
      <c r="K22">
        <v>0.11</v>
      </c>
      <c r="L22">
        <v>0.41</v>
      </c>
      <c r="M22">
        <v>0.26</v>
      </c>
      <c r="N22">
        <v>4.2999999999999997E-2</v>
      </c>
      <c r="O22">
        <v>47</v>
      </c>
      <c r="P22">
        <v>40</v>
      </c>
      <c r="Q22">
        <v>13</v>
      </c>
      <c r="R22" t="s">
        <v>22</v>
      </c>
      <c r="S22" t="s">
        <v>299</v>
      </c>
      <c r="T22" s="2">
        <f t="shared" si="0"/>
        <v>1.0338983050847457</v>
      </c>
    </row>
    <row r="23" spans="1:20" x14ac:dyDescent="0.35">
      <c r="A23" t="s">
        <v>88</v>
      </c>
      <c r="B23">
        <v>68</v>
      </c>
      <c r="C23" t="s">
        <v>340</v>
      </c>
      <c r="D23">
        <v>73</v>
      </c>
      <c r="E23" t="s">
        <v>341</v>
      </c>
      <c r="F23">
        <v>5</v>
      </c>
      <c r="G23">
        <v>7.1</v>
      </c>
      <c r="H23">
        <v>0.92</v>
      </c>
      <c r="I23">
        <v>0.88</v>
      </c>
      <c r="J23">
        <v>3.9000000000000001E-20</v>
      </c>
      <c r="K23">
        <v>0.88</v>
      </c>
      <c r="L23">
        <v>3.9000000000000001E-20</v>
      </c>
      <c r="M23">
        <v>0.28999999999999998</v>
      </c>
      <c r="N23">
        <v>2.4E-2</v>
      </c>
      <c r="O23">
        <v>47</v>
      </c>
      <c r="P23">
        <v>45</v>
      </c>
      <c r="Q23">
        <v>8.3000000000000007</v>
      </c>
      <c r="R23" t="s">
        <v>80</v>
      </c>
      <c r="S23" t="s">
        <v>299</v>
      </c>
      <c r="T23" s="2">
        <f t="shared" si="0"/>
        <v>7.3529411764705885E-2</v>
      </c>
    </row>
    <row r="24" spans="1:20" x14ac:dyDescent="0.35">
      <c r="A24" t="s">
        <v>91</v>
      </c>
      <c r="B24">
        <v>12</v>
      </c>
      <c r="C24" t="s">
        <v>342</v>
      </c>
      <c r="D24">
        <v>13</v>
      </c>
      <c r="E24" t="s">
        <v>343</v>
      </c>
      <c r="F24">
        <v>1</v>
      </c>
      <c r="G24">
        <v>0.98</v>
      </c>
      <c r="H24">
        <v>0.97</v>
      </c>
      <c r="I24">
        <v>0.28999999999999998</v>
      </c>
      <c r="J24">
        <v>2.3E-2</v>
      </c>
      <c r="K24">
        <v>0.35</v>
      </c>
      <c r="L24">
        <v>5.5999999999999999E-3</v>
      </c>
      <c r="M24">
        <v>0.2</v>
      </c>
      <c r="N24">
        <v>0.13</v>
      </c>
      <c r="O24">
        <v>27</v>
      </c>
      <c r="P24">
        <v>57</v>
      </c>
      <c r="Q24">
        <v>17</v>
      </c>
      <c r="R24" t="s">
        <v>22</v>
      </c>
      <c r="S24" t="s">
        <v>299</v>
      </c>
      <c r="T24" s="2">
        <f t="shared" si="0"/>
        <v>8.3333333333333329E-2</v>
      </c>
    </row>
    <row r="25" spans="1:20" x14ac:dyDescent="0.35">
      <c r="A25" t="s">
        <v>92</v>
      </c>
      <c r="B25">
        <v>27</v>
      </c>
      <c r="C25" t="s">
        <v>344</v>
      </c>
      <c r="D25">
        <v>18</v>
      </c>
      <c r="E25" t="s">
        <v>345</v>
      </c>
      <c r="F25">
        <v>-9</v>
      </c>
      <c r="G25">
        <v>-35</v>
      </c>
      <c r="H25">
        <v>6.6000000000000003E-2</v>
      </c>
      <c r="I25">
        <v>0.1</v>
      </c>
      <c r="J25">
        <v>0.42</v>
      </c>
      <c r="K25">
        <v>8.5999999999999993E-2</v>
      </c>
      <c r="L25">
        <v>0.51</v>
      </c>
      <c r="M25">
        <v>0.16</v>
      </c>
      <c r="N25">
        <v>0.22</v>
      </c>
      <c r="O25">
        <v>20</v>
      </c>
      <c r="P25">
        <v>63</v>
      </c>
      <c r="Q25">
        <v>17</v>
      </c>
      <c r="R25" t="s">
        <v>22</v>
      </c>
      <c r="S25" t="s">
        <v>299</v>
      </c>
      <c r="T25" s="2">
        <f t="shared" si="0"/>
        <v>-0.33333333333333331</v>
      </c>
    </row>
    <row r="26" spans="1:20" x14ac:dyDescent="0.35">
      <c r="A26" t="s">
        <v>93</v>
      </c>
      <c r="B26">
        <v>290</v>
      </c>
      <c r="C26" t="s">
        <v>346</v>
      </c>
      <c r="D26">
        <v>550</v>
      </c>
      <c r="E26" t="s">
        <v>347</v>
      </c>
      <c r="F26">
        <v>260</v>
      </c>
      <c r="G26">
        <v>87</v>
      </c>
      <c r="H26">
        <v>3.1000000000000001E-5</v>
      </c>
      <c r="I26">
        <v>0.62</v>
      </c>
      <c r="J26">
        <v>1.4999999999999999E-7</v>
      </c>
      <c r="K26">
        <v>0.7</v>
      </c>
      <c r="L26">
        <v>6.0999999999999996E-10</v>
      </c>
      <c r="M26">
        <v>0.68</v>
      </c>
      <c r="N26">
        <v>2.6000000000000001E-9</v>
      </c>
      <c r="O26">
        <v>45</v>
      </c>
      <c r="P26">
        <v>52</v>
      </c>
      <c r="Q26">
        <v>3.3</v>
      </c>
      <c r="R26" t="s">
        <v>40</v>
      </c>
      <c r="S26" t="s">
        <v>299</v>
      </c>
      <c r="T26" s="2">
        <f t="shared" si="0"/>
        <v>0.89655172413793105</v>
      </c>
    </row>
    <row r="27" spans="1:20" x14ac:dyDescent="0.35">
      <c r="A27" t="s">
        <v>96</v>
      </c>
      <c r="B27">
        <v>240</v>
      </c>
      <c r="C27" t="s">
        <v>348</v>
      </c>
      <c r="D27">
        <v>230</v>
      </c>
      <c r="E27" t="s">
        <v>349</v>
      </c>
      <c r="F27">
        <v>-10</v>
      </c>
      <c r="G27">
        <v>-2.2999999999999998</v>
      </c>
      <c r="H27">
        <v>0.88</v>
      </c>
      <c r="I27">
        <v>6.4000000000000001E-2</v>
      </c>
      <c r="J27">
        <v>0.63</v>
      </c>
      <c r="K27">
        <v>0.21</v>
      </c>
      <c r="L27">
        <v>0.1</v>
      </c>
      <c r="M27">
        <v>9.1999999999999998E-2</v>
      </c>
      <c r="N27">
        <v>0.49</v>
      </c>
      <c r="O27">
        <v>27</v>
      </c>
      <c r="P27">
        <v>50</v>
      </c>
      <c r="Q27">
        <v>23</v>
      </c>
      <c r="R27" t="s">
        <v>22</v>
      </c>
      <c r="S27" t="s">
        <v>299</v>
      </c>
      <c r="T27" s="2">
        <f t="shared" si="0"/>
        <v>-4.1666666666666664E-2</v>
      </c>
    </row>
    <row r="28" spans="1:20" x14ac:dyDescent="0.35">
      <c r="A28" t="s">
        <v>99</v>
      </c>
      <c r="B28">
        <v>140</v>
      </c>
      <c r="C28" t="s">
        <v>350</v>
      </c>
      <c r="D28">
        <v>180</v>
      </c>
      <c r="E28" t="s">
        <v>351</v>
      </c>
      <c r="F28">
        <v>40</v>
      </c>
      <c r="G28">
        <v>24</v>
      </c>
      <c r="H28">
        <v>0.21</v>
      </c>
      <c r="I28">
        <v>0.36</v>
      </c>
      <c r="J28">
        <v>4.3E-3</v>
      </c>
      <c r="K28">
        <v>0.39</v>
      </c>
      <c r="L28">
        <v>2E-3</v>
      </c>
      <c r="M28">
        <v>0.3</v>
      </c>
      <c r="N28">
        <v>0.02</v>
      </c>
      <c r="O28">
        <v>22</v>
      </c>
      <c r="P28">
        <v>65</v>
      </c>
      <c r="Q28">
        <v>13</v>
      </c>
      <c r="R28" t="s">
        <v>22</v>
      </c>
      <c r="S28" t="s">
        <v>299</v>
      </c>
      <c r="T28" s="2">
        <f t="shared" si="0"/>
        <v>0.2857142857142857</v>
      </c>
    </row>
    <row r="29" spans="1:20" x14ac:dyDescent="0.35">
      <c r="A29" t="s">
        <v>102</v>
      </c>
      <c r="B29">
        <v>49</v>
      </c>
      <c r="C29" t="s">
        <v>352</v>
      </c>
      <c r="D29">
        <v>37</v>
      </c>
      <c r="E29" t="s">
        <v>353</v>
      </c>
      <c r="F29">
        <v>-12</v>
      </c>
      <c r="G29">
        <v>-25</v>
      </c>
      <c r="H29">
        <v>0.26</v>
      </c>
      <c r="I29">
        <v>0.14000000000000001</v>
      </c>
      <c r="J29">
        <v>0.28999999999999998</v>
      </c>
      <c r="K29">
        <v>0.12</v>
      </c>
      <c r="L29">
        <v>0.35</v>
      </c>
      <c r="M29">
        <v>0.17</v>
      </c>
      <c r="N29">
        <v>0.18</v>
      </c>
      <c r="O29">
        <v>25</v>
      </c>
      <c r="P29">
        <v>57</v>
      </c>
      <c r="Q29">
        <v>18</v>
      </c>
      <c r="R29" t="s">
        <v>22</v>
      </c>
      <c r="S29" t="s">
        <v>299</v>
      </c>
      <c r="T29" s="2">
        <f t="shared" si="0"/>
        <v>-0.24489795918367346</v>
      </c>
    </row>
    <row r="30" spans="1:20" x14ac:dyDescent="0.35">
      <c r="A30" t="s">
        <v>105</v>
      </c>
      <c r="B30">
        <v>16</v>
      </c>
      <c r="C30" t="s">
        <v>354</v>
      </c>
      <c r="D30">
        <v>9.6</v>
      </c>
      <c r="E30" t="s">
        <v>355</v>
      </c>
      <c r="F30">
        <v>-6.4</v>
      </c>
      <c r="G30">
        <v>-41</v>
      </c>
      <c r="H30">
        <v>0.05</v>
      </c>
      <c r="I30">
        <v>0.6</v>
      </c>
      <c r="J30">
        <v>3.2000000000000001E-7</v>
      </c>
      <c r="K30">
        <v>0.6</v>
      </c>
      <c r="L30">
        <v>3.7E-7</v>
      </c>
      <c r="M30">
        <v>0.34</v>
      </c>
      <c r="N30">
        <v>7.3000000000000001E-3</v>
      </c>
      <c r="O30">
        <v>37</v>
      </c>
      <c r="P30">
        <v>45</v>
      </c>
      <c r="Q30">
        <v>18</v>
      </c>
      <c r="R30" t="s">
        <v>80</v>
      </c>
      <c r="S30" t="s">
        <v>299</v>
      </c>
      <c r="T30" s="2">
        <f t="shared" si="0"/>
        <v>-0.4</v>
      </c>
    </row>
    <row r="31" spans="1:20" x14ac:dyDescent="0.35">
      <c r="A31" t="s">
        <v>108</v>
      </c>
      <c r="B31">
        <v>17</v>
      </c>
      <c r="C31" t="s">
        <v>356</v>
      </c>
      <c r="D31">
        <v>23</v>
      </c>
      <c r="E31" t="s">
        <v>357</v>
      </c>
      <c r="F31">
        <v>6</v>
      </c>
      <c r="G31">
        <v>31</v>
      </c>
      <c r="H31">
        <v>0.32</v>
      </c>
      <c r="I31">
        <v>0.17</v>
      </c>
      <c r="J31">
        <v>0.18</v>
      </c>
      <c r="K31">
        <v>0.18</v>
      </c>
      <c r="L31">
        <v>0.17</v>
      </c>
      <c r="M31">
        <v>0.32</v>
      </c>
      <c r="N31">
        <v>1.0999999999999999E-2</v>
      </c>
      <c r="O31">
        <v>35</v>
      </c>
      <c r="P31">
        <v>53</v>
      </c>
      <c r="Q31">
        <v>12</v>
      </c>
      <c r="R31" t="s">
        <v>22</v>
      </c>
      <c r="S31" t="s">
        <v>299</v>
      </c>
      <c r="T31" s="2">
        <f t="shared" si="0"/>
        <v>0.35294117647058826</v>
      </c>
    </row>
    <row r="32" spans="1:20" x14ac:dyDescent="0.35">
      <c r="A32" t="s">
        <v>111</v>
      </c>
      <c r="B32">
        <v>89</v>
      </c>
      <c r="C32" t="s">
        <v>358</v>
      </c>
      <c r="D32">
        <v>82</v>
      </c>
      <c r="E32" t="s">
        <v>359</v>
      </c>
      <c r="F32">
        <v>-7</v>
      </c>
      <c r="G32">
        <v>-8.1</v>
      </c>
      <c r="H32">
        <v>0.54</v>
      </c>
      <c r="I32">
        <v>0.24</v>
      </c>
      <c r="J32">
        <v>6.2E-2</v>
      </c>
      <c r="K32">
        <v>0.24</v>
      </c>
      <c r="L32">
        <v>6.0999999999999999E-2</v>
      </c>
      <c r="M32">
        <v>0.28000000000000003</v>
      </c>
      <c r="N32">
        <v>2.9000000000000001E-2</v>
      </c>
      <c r="O32">
        <v>25</v>
      </c>
      <c r="P32">
        <v>63</v>
      </c>
      <c r="Q32">
        <v>12</v>
      </c>
      <c r="R32" t="s">
        <v>22</v>
      </c>
      <c r="S32" t="s">
        <v>299</v>
      </c>
      <c r="T32" s="2">
        <f t="shared" si="0"/>
        <v>-7.8651685393258425E-2</v>
      </c>
    </row>
    <row r="33" spans="1:20" x14ac:dyDescent="0.35">
      <c r="A33" t="s">
        <v>114</v>
      </c>
      <c r="B33">
        <v>160</v>
      </c>
      <c r="C33" t="s">
        <v>360</v>
      </c>
      <c r="D33">
        <v>360</v>
      </c>
      <c r="E33" t="s">
        <v>361</v>
      </c>
      <c r="F33">
        <v>200</v>
      </c>
      <c r="G33">
        <v>120</v>
      </c>
      <c r="H33">
        <v>9.0999999999999998E-2</v>
      </c>
      <c r="I33">
        <v>0.4</v>
      </c>
      <c r="J33">
        <v>1.4E-3</v>
      </c>
      <c r="K33">
        <v>0.42</v>
      </c>
      <c r="L33">
        <v>8.8999999999999995E-4</v>
      </c>
      <c r="M33">
        <v>0.42</v>
      </c>
      <c r="N33">
        <v>8.3000000000000001E-4</v>
      </c>
      <c r="O33">
        <v>35</v>
      </c>
      <c r="P33">
        <v>55</v>
      </c>
      <c r="Q33">
        <v>10</v>
      </c>
      <c r="R33" t="s">
        <v>162</v>
      </c>
      <c r="S33" t="s">
        <v>299</v>
      </c>
      <c r="T33" s="2">
        <f t="shared" si="0"/>
        <v>1.25</v>
      </c>
    </row>
    <row r="34" spans="1:20" x14ac:dyDescent="0.35">
      <c r="A34" t="s">
        <v>117</v>
      </c>
      <c r="B34">
        <v>6.7</v>
      </c>
      <c r="C34" t="s">
        <v>362</v>
      </c>
      <c r="D34">
        <v>2.2000000000000002</v>
      </c>
      <c r="E34" t="s">
        <v>363</v>
      </c>
      <c r="F34">
        <v>-4.5</v>
      </c>
      <c r="G34">
        <v>-67</v>
      </c>
      <c r="H34">
        <v>4.4999999999999998E-2</v>
      </c>
      <c r="I34">
        <v>-0.03</v>
      </c>
      <c r="J34">
        <v>0.82</v>
      </c>
      <c r="K34">
        <v>-3.2000000000000001E-2</v>
      </c>
      <c r="L34">
        <v>0.81</v>
      </c>
      <c r="M34">
        <v>3.7999999999999999E-2</v>
      </c>
      <c r="N34">
        <v>0.77</v>
      </c>
      <c r="O34">
        <v>28</v>
      </c>
      <c r="P34">
        <v>57</v>
      </c>
      <c r="Q34">
        <v>15</v>
      </c>
      <c r="R34" t="s">
        <v>22</v>
      </c>
      <c r="S34" t="s">
        <v>299</v>
      </c>
      <c r="T34" s="2">
        <f t="shared" si="0"/>
        <v>-0.67164179104477606</v>
      </c>
    </row>
    <row r="35" spans="1:20" x14ac:dyDescent="0.35">
      <c r="A35" t="s">
        <v>118</v>
      </c>
      <c r="B35">
        <v>28</v>
      </c>
      <c r="C35" t="s">
        <v>364</v>
      </c>
      <c r="D35">
        <v>70</v>
      </c>
      <c r="E35" t="s">
        <v>365</v>
      </c>
      <c r="F35">
        <v>42</v>
      </c>
      <c r="G35">
        <v>160</v>
      </c>
      <c r="H35">
        <v>2.4000000000000001E-5</v>
      </c>
      <c r="I35">
        <v>0.18</v>
      </c>
      <c r="J35">
        <v>0.18</v>
      </c>
      <c r="K35">
        <v>0.18</v>
      </c>
      <c r="L35">
        <v>0.18</v>
      </c>
      <c r="M35">
        <v>5.5E-2</v>
      </c>
      <c r="N35">
        <v>0.68</v>
      </c>
      <c r="O35">
        <v>25</v>
      </c>
      <c r="P35">
        <v>52</v>
      </c>
      <c r="Q35">
        <v>23</v>
      </c>
      <c r="R35" t="s">
        <v>22</v>
      </c>
      <c r="S35" t="s">
        <v>299</v>
      </c>
      <c r="T35" s="2">
        <f t="shared" si="0"/>
        <v>1.5</v>
      </c>
    </row>
    <row r="36" spans="1:20" x14ac:dyDescent="0.35">
      <c r="A36" t="s">
        <v>121</v>
      </c>
      <c r="B36">
        <v>18</v>
      </c>
      <c r="C36" t="s">
        <v>366</v>
      </c>
      <c r="D36">
        <v>32</v>
      </c>
      <c r="E36" t="s">
        <v>367</v>
      </c>
      <c r="F36">
        <v>14</v>
      </c>
      <c r="G36">
        <v>78</v>
      </c>
      <c r="H36">
        <v>1.4E-2</v>
      </c>
      <c r="I36">
        <v>-3.4000000000000002E-2</v>
      </c>
      <c r="J36">
        <v>0.8</v>
      </c>
      <c r="K36">
        <v>-6.7000000000000004E-2</v>
      </c>
      <c r="L36">
        <v>0.61</v>
      </c>
      <c r="M36">
        <v>0.1</v>
      </c>
      <c r="N36">
        <v>0.44</v>
      </c>
      <c r="O36">
        <v>18</v>
      </c>
      <c r="P36">
        <v>65</v>
      </c>
      <c r="Q36">
        <v>17</v>
      </c>
      <c r="R36" t="s">
        <v>22</v>
      </c>
      <c r="S36" t="s">
        <v>299</v>
      </c>
      <c r="T36" s="2">
        <f t="shared" si="0"/>
        <v>0.77777777777777779</v>
      </c>
    </row>
    <row r="37" spans="1:20" x14ac:dyDescent="0.35">
      <c r="A37" t="s">
        <v>124</v>
      </c>
      <c r="B37">
        <v>48</v>
      </c>
      <c r="C37" t="s">
        <v>368</v>
      </c>
      <c r="D37">
        <v>27</v>
      </c>
      <c r="E37" t="s">
        <v>369</v>
      </c>
      <c r="F37">
        <v>-21</v>
      </c>
      <c r="G37">
        <v>-44</v>
      </c>
      <c r="H37">
        <v>0.26</v>
      </c>
      <c r="I37">
        <v>-8.9999999999999993E-3</v>
      </c>
      <c r="J37">
        <v>0.95</v>
      </c>
      <c r="K37">
        <v>2.9999999999999997E-4</v>
      </c>
      <c r="L37">
        <v>1</v>
      </c>
      <c r="M37">
        <v>0.21</v>
      </c>
      <c r="N37">
        <v>0.11</v>
      </c>
      <c r="O37">
        <v>50</v>
      </c>
      <c r="P37">
        <v>35</v>
      </c>
      <c r="Q37">
        <v>15</v>
      </c>
      <c r="R37" t="s">
        <v>22</v>
      </c>
      <c r="S37" t="s">
        <v>299</v>
      </c>
      <c r="T37" s="2">
        <f t="shared" si="0"/>
        <v>-0.4375</v>
      </c>
    </row>
    <row r="38" spans="1:20" x14ac:dyDescent="0.35">
      <c r="A38" t="s">
        <v>50</v>
      </c>
      <c r="B38">
        <v>23</v>
      </c>
      <c r="C38" t="s">
        <v>316</v>
      </c>
      <c r="D38">
        <v>32</v>
      </c>
      <c r="E38" t="s">
        <v>317</v>
      </c>
      <c r="F38">
        <v>9</v>
      </c>
      <c r="G38">
        <v>38</v>
      </c>
      <c r="H38">
        <v>0.24</v>
      </c>
      <c r="I38">
        <v>-8.7999999999999995E-2</v>
      </c>
      <c r="J38">
        <v>0.51</v>
      </c>
      <c r="K38">
        <v>-0.14000000000000001</v>
      </c>
      <c r="L38">
        <v>0.27</v>
      </c>
      <c r="M38">
        <v>9.1999999999999998E-2</v>
      </c>
      <c r="N38">
        <v>0.48</v>
      </c>
      <c r="O38">
        <v>28</v>
      </c>
      <c r="P38">
        <v>52</v>
      </c>
      <c r="Q38">
        <v>20</v>
      </c>
      <c r="R38" t="s">
        <v>22</v>
      </c>
      <c r="S38" t="s">
        <v>299</v>
      </c>
      <c r="T38" s="2">
        <f t="shared" si="0"/>
        <v>0.39130434782608697</v>
      </c>
    </row>
    <row r="39" spans="1:20" x14ac:dyDescent="0.35">
      <c r="A39" t="s">
        <v>127</v>
      </c>
      <c r="B39">
        <v>9.4</v>
      </c>
      <c r="C39" t="s">
        <v>370</v>
      </c>
      <c r="D39">
        <v>10</v>
      </c>
      <c r="E39" t="s">
        <v>371</v>
      </c>
      <c r="F39">
        <v>0.6</v>
      </c>
      <c r="G39">
        <v>9</v>
      </c>
      <c r="H39">
        <v>0.7</v>
      </c>
      <c r="I39">
        <v>4.2999999999999997E-2</v>
      </c>
      <c r="J39">
        <v>0.74</v>
      </c>
      <c r="K39">
        <v>4.4999999999999998E-2</v>
      </c>
      <c r="L39">
        <v>0.73</v>
      </c>
      <c r="M39">
        <v>0.19</v>
      </c>
      <c r="N39">
        <v>0.15</v>
      </c>
      <c r="O39">
        <v>22</v>
      </c>
      <c r="P39">
        <v>57</v>
      </c>
      <c r="Q39">
        <v>22</v>
      </c>
      <c r="R39" t="s">
        <v>22</v>
      </c>
      <c r="S39" t="s">
        <v>299</v>
      </c>
      <c r="T39" s="2">
        <f t="shared" si="0"/>
        <v>6.3829787234042507E-2</v>
      </c>
    </row>
    <row r="40" spans="1:20" x14ac:dyDescent="0.35">
      <c r="A40" t="s">
        <v>128</v>
      </c>
      <c r="B40">
        <v>23</v>
      </c>
      <c r="C40" t="s">
        <v>372</v>
      </c>
      <c r="D40">
        <v>26</v>
      </c>
      <c r="E40" t="s">
        <v>373</v>
      </c>
      <c r="F40">
        <v>3</v>
      </c>
      <c r="G40">
        <v>12</v>
      </c>
      <c r="H40">
        <v>0.7</v>
      </c>
      <c r="I40">
        <v>0.32</v>
      </c>
      <c r="J40">
        <v>1.2999999999999999E-2</v>
      </c>
      <c r="K40">
        <v>0.31</v>
      </c>
      <c r="L40">
        <v>1.7000000000000001E-2</v>
      </c>
      <c r="M40">
        <v>0.39</v>
      </c>
      <c r="N40">
        <v>1.9E-3</v>
      </c>
      <c r="O40">
        <v>40</v>
      </c>
      <c r="P40">
        <v>43</v>
      </c>
      <c r="Q40">
        <v>17</v>
      </c>
      <c r="R40" t="s">
        <v>22</v>
      </c>
      <c r="S40" t="s">
        <v>299</v>
      </c>
      <c r="T40" s="2">
        <f t="shared" si="0"/>
        <v>0.13043478260869565</v>
      </c>
    </row>
    <row r="41" spans="1:20" x14ac:dyDescent="0.35">
      <c r="A41" t="s">
        <v>129</v>
      </c>
      <c r="B41">
        <v>120</v>
      </c>
      <c r="C41" t="s">
        <v>374</v>
      </c>
      <c r="D41">
        <v>570</v>
      </c>
      <c r="E41" t="s">
        <v>375</v>
      </c>
      <c r="F41">
        <v>450</v>
      </c>
      <c r="G41">
        <v>380</v>
      </c>
      <c r="H41">
        <v>6.8999999999999997E-4</v>
      </c>
      <c r="I41">
        <v>0.23</v>
      </c>
      <c r="J41">
        <v>7.1999999999999995E-2</v>
      </c>
      <c r="K41">
        <v>0.23</v>
      </c>
      <c r="L41">
        <v>7.1999999999999995E-2</v>
      </c>
      <c r="M41">
        <v>0.23</v>
      </c>
      <c r="N41">
        <v>7.6999999999999999E-2</v>
      </c>
      <c r="O41">
        <v>40</v>
      </c>
      <c r="P41">
        <v>52</v>
      </c>
      <c r="Q41">
        <v>8.3000000000000007</v>
      </c>
      <c r="R41" t="s">
        <v>22</v>
      </c>
      <c r="S41" t="s">
        <v>299</v>
      </c>
      <c r="T41" s="2">
        <f t="shared" si="0"/>
        <v>3.75</v>
      </c>
    </row>
    <row r="42" spans="1:20" x14ac:dyDescent="0.35">
      <c r="A42" t="s">
        <v>130</v>
      </c>
      <c r="B42">
        <v>960</v>
      </c>
      <c r="C42" t="s">
        <v>376</v>
      </c>
      <c r="D42">
        <v>1300</v>
      </c>
      <c r="E42" t="s">
        <v>377</v>
      </c>
      <c r="F42">
        <v>340</v>
      </c>
      <c r="G42">
        <v>32</v>
      </c>
      <c r="H42">
        <v>1.1000000000000001E-3</v>
      </c>
      <c r="I42">
        <v>0.34</v>
      </c>
      <c r="J42">
        <v>7.4000000000000003E-3</v>
      </c>
      <c r="K42">
        <v>0.42</v>
      </c>
      <c r="L42">
        <v>7.6999999999999996E-4</v>
      </c>
      <c r="M42">
        <v>0.25</v>
      </c>
      <c r="N42">
        <v>5.7000000000000002E-2</v>
      </c>
      <c r="O42">
        <v>22</v>
      </c>
      <c r="P42">
        <v>57</v>
      </c>
      <c r="Q42">
        <v>22</v>
      </c>
      <c r="R42" t="s">
        <v>40</v>
      </c>
      <c r="S42" t="s">
        <v>299</v>
      </c>
      <c r="T42" s="2">
        <f t="shared" si="0"/>
        <v>0.35416666666666669</v>
      </c>
    </row>
    <row r="43" spans="1:20" x14ac:dyDescent="0.35">
      <c r="A43" t="s">
        <v>133</v>
      </c>
      <c r="B43">
        <v>1300</v>
      </c>
      <c r="C43" t="s">
        <v>378</v>
      </c>
      <c r="D43">
        <v>2300</v>
      </c>
      <c r="E43" t="s">
        <v>379</v>
      </c>
      <c r="F43">
        <v>1000</v>
      </c>
      <c r="G43">
        <v>71</v>
      </c>
      <c r="H43">
        <v>3.1999999999999999E-6</v>
      </c>
      <c r="I43">
        <v>7.1999999999999995E-2</v>
      </c>
      <c r="J43">
        <v>0.59</v>
      </c>
      <c r="K43">
        <v>0.21</v>
      </c>
      <c r="L43">
        <v>0.1</v>
      </c>
      <c r="M43">
        <v>7.0000000000000007E-2</v>
      </c>
      <c r="N43">
        <v>0.59</v>
      </c>
      <c r="O43">
        <v>17</v>
      </c>
      <c r="P43">
        <v>58</v>
      </c>
      <c r="Q43">
        <v>25</v>
      </c>
      <c r="R43" t="s">
        <v>22</v>
      </c>
      <c r="S43" t="s">
        <v>299</v>
      </c>
      <c r="T43" s="2">
        <f t="shared" si="0"/>
        <v>0.76923076923076927</v>
      </c>
    </row>
    <row r="44" spans="1:20" x14ac:dyDescent="0.35">
      <c r="A44" t="s">
        <v>136</v>
      </c>
      <c r="B44">
        <v>1900</v>
      </c>
      <c r="C44" t="s">
        <v>380</v>
      </c>
      <c r="D44">
        <v>2200</v>
      </c>
      <c r="E44" t="s">
        <v>381</v>
      </c>
      <c r="F44">
        <v>300</v>
      </c>
      <c r="G44">
        <v>13</v>
      </c>
      <c r="H44">
        <v>0.14000000000000001</v>
      </c>
      <c r="I44">
        <v>7.2999999999999995E-2</v>
      </c>
      <c r="J44">
        <v>0.57999999999999996</v>
      </c>
      <c r="K44">
        <v>0.22</v>
      </c>
      <c r="L44">
        <v>0.09</v>
      </c>
      <c r="M44">
        <v>-4.3999999999999997E-2</v>
      </c>
      <c r="N44">
        <v>0.74</v>
      </c>
      <c r="O44">
        <v>25</v>
      </c>
      <c r="P44">
        <v>52</v>
      </c>
      <c r="Q44">
        <v>23</v>
      </c>
      <c r="R44" t="s">
        <v>22</v>
      </c>
      <c r="S44" t="s">
        <v>299</v>
      </c>
      <c r="T44" s="2">
        <f t="shared" si="0"/>
        <v>0.15789473684210525</v>
      </c>
    </row>
  </sheetData>
  <autoFilter ref="A1:T44" xr:uid="{F3169A7A-E6F0-4CEE-9CC6-847BDE5252E8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4"/>
  <sheetViews>
    <sheetView workbookViewId="0">
      <selection activeCell="N33" sqref="N33"/>
    </sheetView>
  </sheetViews>
  <sheetFormatPr baseColWidth="10" defaultRowHeight="14.5" x14ac:dyDescent="0.35"/>
  <cols>
    <col min="20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632</v>
      </c>
    </row>
    <row r="2" spans="1:20" x14ac:dyDescent="0.35">
      <c r="A2" t="s">
        <v>19</v>
      </c>
      <c r="B2">
        <v>100</v>
      </c>
      <c r="C2" t="s">
        <v>382</v>
      </c>
      <c r="D2">
        <v>120</v>
      </c>
      <c r="E2" t="s">
        <v>383</v>
      </c>
      <c r="F2">
        <v>20</v>
      </c>
      <c r="G2">
        <v>18</v>
      </c>
      <c r="H2">
        <v>0.23</v>
      </c>
      <c r="I2">
        <v>0.18</v>
      </c>
      <c r="J2">
        <v>0.12</v>
      </c>
      <c r="K2">
        <v>0.18</v>
      </c>
      <c r="L2">
        <v>0.1</v>
      </c>
      <c r="M2">
        <v>0.14000000000000001</v>
      </c>
      <c r="N2">
        <v>0.2</v>
      </c>
      <c r="O2">
        <v>30</v>
      </c>
      <c r="P2">
        <v>50</v>
      </c>
      <c r="Q2">
        <v>20</v>
      </c>
      <c r="R2" t="s">
        <v>22</v>
      </c>
      <c r="S2" t="s">
        <v>384</v>
      </c>
      <c r="T2" s="2">
        <f>(D2-B2)/B2</f>
        <v>0.2</v>
      </c>
    </row>
    <row r="3" spans="1:20" x14ac:dyDescent="0.35">
      <c r="A3" t="s">
        <v>24</v>
      </c>
      <c r="B3">
        <v>5.6</v>
      </c>
      <c r="C3" t="s">
        <v>385</v>
      </c>
      <c r="D3">
        <v>6.3</v>
      </c>
      <c r="E3" t="s">
        <v>386</v>
      </c>
      <c r="F3">
        <v>0.7</v>
      </c>
      <c r="G3">
        <v>13</v>
      </c>
      <c r="H3">
        <v>0.73</v>
      </c>
      <c r="I3">
        <v>0.19</v>
      </c>
      <c r="J3">
        <v>8.1000000000000003E-2</v>
      </c>
      <c r="K3">
        <v>0.23</v>
      </c>
      <c r="L3">
        <v>3.6999999999999998E-2</v>
      </c>
      <c r="M3">
        <v>0.33</v>
      </c>
      <c r="N3">
        <v>2.5999999999999999E-3</v>
      </c>
      <c r="O3">
        <v>60</v>
      </c>
      <c r="P3">
        <v>28</v>
      </c>
      <c r="Q3">
        <v>12</v>
      </c>
      <c r="R3" t="s">
        <v>22</v>
      </c>
      <c r="S3" t="s">
        <v>384</v>
      </c>
      <c r="T3" s="2">
        <f t="shared" ref="T3:T44" si="0">(D3-B3)/B3</f>
        <v>0.12500000000000003</v>
      </c>
    </row>
    <row r="4" spans="1:20" x14ac:dyDescent="0.35">
      <c r="A4" t="s">
        <v>27</v>
      </c>
      <c r="B4">
        <v>120</v>
      </c>
      <c r="C4" t="s">
        <v>387</v>
      </c>
      <c r="D4">
        <v>110</v>
      </c>
      <c r="E4" t="s">
        <v>388</v>
      </c>
      <c r="F4">
        <v>-10</v>
      </c>
      <c r="G4">
        <v>-10</v>
      </c>
      <c r="H4">
        <v>0.52</v>
      </c>
      <c r="I4">
        <v>0.16</v>
      </c>
      <c r="J4">
        <v>0.15</v>
      </c>
      <c r="K4">
        <v>0.17</v>
      </c>
      <c r="L4">
        <v>0.12</v>
      </c>
      <c r="M4">
        <v>0.23</v>
      </c>
      <c r="N4">
        <v>3.5999999999999997E-2</v>
      </c>
      <c r="O4">
        <v>23</v>
      </c>
      <c r="P4">
        <v>59</v>
      </c>
      <c r="Q4">
        <v>18</v>
      </c>
      <c r="R4" t="s">
        <v>22</v>
      </c>
      <c r="S4" t="s">
        <v>384</v>
      </c>
      <c r="T4" s="2">
        <f t="shared" si="0"/>
        <v>-8.3333333333333329E-2</v>
      </c>
    </row>
    <row r="5" spans="1:20" x14ac:dyDescent="0.35">
      <c r="A5" t="s">
        <v>30</v>
      </c>
      <c r="B5">
        <v>130</v>
      </c>
      <c r="C5" t="s">
        <v>389</v>
      </c>
      <c r="D5">
        <v>120</v>
      </c>
      <c r="E5" t="s">
        <v>390</v>
      </c>
      <c r="F5">
        <v>-10</v>
      </c>
      <c r="G5">
        <v>-5.6</v>
      </c>
      <c r="H5">
        <v>0.72</v>
      </c>
      <c r="I5">
        <v>0.24</v>
      </c>
      <c r="J5">
        <v>3.2000000000000001E-2</v>
      </c>
      <c r="K5">
        <v>0.28000000000000003</v>
      </c>
      <c r="L5">
        <v>9.7999999999999997E-3</v>
      </c>
      <c r="M5">
        <v>0.14000000000000001</v>
      </c>
      <c r="N5">
        <v>0.2</v>
      </c>
      <c r="O5">
        <v>24</v>
      </c>
      <c r="P5">
        <v>56</v>
      </c>
      <c r="Q5">
        <v>20</v>
      </c>
      <c r="R5" t="s">
        <v>22</v>
      </c>
      <c r="S5" t="s">
        <v>384</v>
      </c>
      <c r="T5" s="2">
        <f t="shared" si="0"/>
        <v>-7.6923076923076927E-2</v>
      </c>
    </row>
    <row r="6" spans="1:20" x14ac:dyDescent="0.35">
      <c r="A6" t="s">
        <v>33</v>
      </c>
      <c r="B6">
        <v>55</v>
      </c>
      <c r="C6" t="s">
        <v>391</v>
      </c>
      <c r="D6">
        <v>34</v>
      </c>
      <c r="E6" t="s">
        <v>392</v>
      </c>
      <c r="F6">
        <v>-21</v>
      </c>
      <c r="G6">
        <v>-38</v>
      </c>
      <c r="H6">
        <v>1.1000000000000001E-3</v>
      </c>
      <c r="I6">
        <v>0.16</v>
      </c>
      <c r="J6">
        <v>0.14000000000000001</v>
      </c>
      <c r="K6">
        <v>0.21</v>
      </c>
      <c r="L6">
        <v>5.7000000000000002E-2</v>
      </c>
      <c r="M6">
        <v>0.19</v>
      </c>
      <c r="N6">
        <v>7.9000000000000001E-2</v>
      </c>
      <c r="O6">
        <v>27</v>
      </c>
      <c r="P6">
        <v>52</v>
      </c>
      <c r="Q6">
        <v>21</v>
      </c>
      <c r="R6" t="s">
        <v>22</v>
      </c>
      <c r="S6" t="s">
        <v>384</v>
      </c>
      <c r="T6" s="2">
        <f t="shared" si="0"/>
        <v>-0.38181818181818183</v>
      </c>
    </row>
    <row r="7" spans="1:20" x14ac:dyDescent="0.35">
      <c r="A7" t="s">
        <v>37</v>
      </c>
      <c r="B7">
        <v>190</v>
      </c>
      <c r="C7" t="s">
        <v>393</v>
      </c>
      <c r="D7">
        <v>230</v>
      </c>
      <c r="E7" t="s">
        <v>394</v>
      </c>
      <c r="F7">
        <v>40</v>
      </c>
      <c r="G7">
        <v>20</v>
      </c>
      <c r="H7">
        <v>0.23</v>
      </c>
      <c r="I7">
        <v>0.39</v>
      </c>
      <c r="J7">
        <v>3.3E-4</v>
      </c>
      <c r="K7">
        <v>0.38</v>
      </c>
      <c r="L7">
        <v>4.4999999999999999E-4</v>
      </c>
      <c r="M7">
        <v>0.52</v>
      </c>
      <c r="N7">
        <v>4.5999999999999999E-7</v>
      </c>
      <c r="O7">
        <v>30</v>
      </c>
      <c r="P7">
        <v>61</v>
      </c>
      <c r="Q7">
        <v>8.5</v>
      </c>
      <c r="R7" t="s">
        <v>36</v>
      </c>
      <c r="S7" t="s">
        <v>384</v>
      </c>
      <c r="T7" s="2">
        <f t="shared" si="0"/>
        <v>0.21052631578947367</v>
      </c>
    </row>
    <row r="8" spans="1:20" x14ac:dyDescent="0.35">
      <c r="A8" t="s">
        <v>41</v>
      </c>
      <c r="B8">
        <v>2.1</v>
      </c>
      <c r="C8" t="s">
        <v>395</v>
      </c>
      <c r="D8">
        <v>2.8</v>
      </c>
      <c r="E8" t="s">
        <v>396</v>
      </c>
      <c r="F8">
        <v>0.7</v>
      </c>
      <c r="G8">
        <v>33</v>
      </c>
      <c r="H8">
        <v>0.57999999999999996</v>
      </c>
      <c r="I8">
        <v>-4.8000000000000001E-2</v>
      </c>
      <c r="J8">
        <v>0.67</v>
      </c>
      <c r="K8">
        <v>-4.2999999999999997E-2</v>
      </c>
      <c r="L8">
        <v>0.7</v>
      </c>
      <c r="M8">
        <v>-1.7999999999999999E-2</v>
      </c>
      <c r="N8">
        <v>0.87</v>
      </c>
      <c r="O8">
        <v>67</v>
      </c>
      <c r="P8">
        <v>27</v>
      </c>
      <c r="Q8">
        <v>6.1</v>
      </c>
      <c r="R8" t="s">
        <v>22</v>
      </c>
      <c r="S8" t="s">
        <v>384</v>
      </c>
      <c r="T8" s="2">
        <f t="shared" si="0"/>
        <v>0.3333333333333332</v>
      </c>
    </row>
    <row r="9" spans="1:20" x14ac:dyDescent="0.35">
      <c r="A9" t="s">
        <v>44</v>
      </c>
      <c r="B9">
        <v>67</v>
      </c>
      <c r="C9" t="s">
        <v>397</v>
      </c>
      <c r="D9">
        <v>95</v>
      </c>
      <c r="E9" t="s">
        <v>398</v>
      </c>
      <c r="F9">
        <v>28</v>
      </c>
      <c r="G9">
        <v>42</v>
      </c>
      <c r="H9">
        <v>3.3000000000000002E-2</v>
      </c>
      <c r="I9">
        <v>0.31</v>
      </c>
      <c r="J9">
        <v>4.4999999999999997E-3</v>
      </c>
      <c r="K9">
        <v>0.22</v>
      </c>
      <c r="L9">
        <v>4.8000000000000001E-2</v>
      </c>
      <c r="M9">
        <v>0.39</v>
      </c>
      <c r="N9">
        <v>3.2000000000000003E-4</v>
      </c>
      <c r="O9">
        <v>24</v>
      </c>
      <c r="P9">
        <v>61</v>
      </c>
      <c r="Q9">
        <v>15</v>
      </c>
      <c r="R9" t="s">
        <v>22</v>
      </c>
      <c r="S9" t="s">
        <v>384</v>
      </c>
      <c r="T9" s="2">
        <f t="shared" si="0"/>
        <v>0.41791044776119401</v>
      </c>
    </row>
    <row r="10" spans="1:20" x14ac:dyDescent="0.35">
      <c r="A10" t="s">
        <v>47</v>
      </c>
      <c r="B10">
        <v>220</v>
      </c>
      <c r="C10" t="s">
        <v>399</v>
      </c>
      <c r="D10">
        <v>440</v>
      </c>
      <c r="E10" t="s">
        <v>400</v>
      </c>
      <c r="F10">
        <v>220</v>
      </c>
      <c r="G10">
        <v>100</v>
      </c>
      <c r="H10">
        <v>4.1000000000000003E-8</v>
      </c>
      <c r="I10">
        <v>0.4</v>
      </c>
      <c r="J10">
        <v>2.0000000000000001E-4</v>
      </c>
      <c r="K10">
        <v>0.48</v>
      </c>
      <c r="L10">
        <v>4.6999999999999999E-6</v>
      </c>
      <c r="M10">
        <v>0.3</v>
      </c>
      <c r="N10">
        <v>6.1999999999999998E-3</v>
      </c>
      <c r="O10">
        <v>29</v>
      </c>
      <c r="P10">
        <v>55</v>
      </c>
      <c r="Q10">
        <v>16</v>
      </c>
      <c r="R10" t="s">
        <v>40</v>
      </c>
      <c r="S10" t="s">
        <v>384</v>
      </c>
      <c r="T10" s="2">
        <f t="shared" si="0"/>
        <v>1</v>
      </c>
    </row>
    <row r="11" spans="1:20" x14ac:dyDescent="0.35">
      <c r="A11" t="s">
        <v>50</v>
      </c>
      <c r="B11">
        <v>20</v>
      </c>
      <c r="C11" t="s">
        <v>401</v>
      </c>
      <c r="D11">
        <v>48</v>
      </c>
      <c r="E11" t="s">
        <v>402</v>
      </c>
      <c r="F11">
        <v>28</v>
      </c>
      <c r="G11">
        <v>130</v>
      </c>
      <c r="H11">
        <v>4.4000000000000003E-3</v>
      </c>
      <c r="I11">
        <v>0.65</v>
      </c>
      <c r="J11">
        <v>2.5000000000000001E-11</v>
      </c>
      <c r="K11">
        <v>0.66</v>
      </c>
      <c r="L11">
        <v>1.6999999999999999E-11</v>
      </c>
      <c r="M11">
        <v>0.51</v>
      </c>
      <c r="N11">
        <v>9.7999999999999993E-7</v>
      </c>
      <c r="O11">
        <v>57</v>
      </c>
      <c r="P11">
        <v>33</v>
      </c>
      <c r="Q11">
        <v>9.8000000000000007</v>
      </c>
      <c r="R11" t="s">
        <v>40</v>
      </c>
      <c r="S11" t="s">
        <v>384</v>
      </c>
      <c r="T11" s="2">
        <f t="shared" si="0"/>
        <v>1.4</v>
      </c>
    </row>
    <row r="12" spans="1:20" x14ac:dyDescent="0.35">
      <c r="A12" t="s">
        <v>53</v>
      </c>
      <c r="B12">
        <v>8.8000000000000007</v>
      </c>
      <c r="C12" t="s">
        <v>403</v>
      </c>
      <c r="D12">
        <v>8.6</v>
      </c>
      <c r="E12" t="s">
        <v>404</v>
      </c>
      <c r="F12">
        <v>-0.20000000000000101</v>
      </c>
      <c r="G12">
        <v>-2.4</v>
      </c>
      <c r="H12">
        <v>0.93</v>
      </c>
      <c r="I12">
        <v>0.31</v>
      </c>
      <c r="J12">
        <v>4.4999999999999997E-3</v>
      </c>
      <c r="K12">
        <v>0.31</v>
      </c>
      <c r="L12">
        <v>4.7999999999999996E-3</v>
      </c>
      <c r="M12">
        <v>0.27</v>
      </c>
      <c r="N12">
        <v>1.4E-2</v>
      </c>
      <c r="O12">
        <v>32</v>
      </c>
      <c r="P12">
        <v>55</v>
      </c>
      <c r="Q12">
        <v>13</v>
      </c>
      <c r="R12" t="s">
        <v>22</v>
      </c>
      <c r="S12" t="s">
        <v>384</v>
      </c>
      <c r="T12" s="2">
        <f t="shared" si="0"/>
        <v>-2.2727272727272846E-2</v>
      </c>
    </row>
    <row r="13" spans="1:20" x14ac:dyDescent="0.35">
      <c r="A13" t="s">
        <v>56</v>
      </c>
      <c r="B13">
        <v>28</v>
      </c>
      <c r="C13" t="s">
        <v>405</v>
      </c>
      <c r="D13">
        <v>34</v>
      </c>
      <c r="E13" t="s">
        <v>406</v>
      </c>
      <c r="F13">
        <v>6</v>
      </c>
      <c r="G13">
        <v>23</v>
      </c>
      <c r="H13">
        <v>0.36</v>
      </c>
      <c r="I13">
        <v>0.45</v>
      </c>
      <c r="J13">
        <v>1.9000000000000001E-5</v>
      </c>
      <c r="K13">
        <v>0.45</v>
      </c>
      <c r="L13">
        <v>2.3E-5</v>
      </c>
      <c r="M13">
        <v>0.25</v>
      </c>
      <c r="N13">
        <v>2.1000000000000001E-2</v>
      </c>
      <c r="O13">
        <v>27</v>
      </c>
      <c r="P13">
        <v>57</v>
      </c>
      <c r="Q13">
        <v>16</v>
      </c>
      <c r="R13" t="s">
        <v>36</v>
      </c>
      <c r="S13" t="s">
        <v>384</v>
      </c>
      <c r="T13" s="2">
        <f t="shared" si="0"/>
        <v>0.21428571428571427</v>
      </c>
    </row>
    <row r="14" spans="1:20" x14ac:dyDescent="0.35">
      <c r="A14" t="s">
        <v>59</v>
      </c>
      <c r="B14">
        <v>94</v>
      </c>
      <c r="C14" t="s">
        <v>407</v>
      </c>
      <c r="D14">
        <v>92</v>
      </c>
      <c r="E14" t="s">
        <v>408</v>
      </c>
      <c r="F14">
        <v>-2</v>
      </c>
      <c r="G14">
        <v>-2.6</v>
      </c>
      <c r="H14">
        <v>0.84</v>
      </c>
      <c r="I14">
        <v>3.4000000000000002E-2</v>
      </c>
      <c r="J14">
        <v>0.76</v>
      </c>
      <c r="K14">
        <v>2.9000000000000001E-2</v>
      </c>
      <c r="L14">
        <v>0.8</v>
      </c>
      <c r="M14">
        <v>-1.4999999999999999E-2</v>
      </c>
      <c r="N14">
        <v>0.89</v>
      </c>
      <c r="O14">
        <v>24</v>
      </c>
      <c r="P14">
        <v>51</v>
      </c>
      <c r="Q14">
        <v>24</v>
      </c>
      <c r="R14" t="s">
        <v>22</v>
      </c>
      <c r="S14" t="s">
        <v>384</v>
      </c>
      <c r="T14" s="2">
        <f t="shared" si="0"/>
        <v>-2.1276595744680851E-2</v>
      </c>
    </row>
    <row r="15" spans="1:20" x14ac:dyDescent="0.35">
      <c r="A15" t="s">
        <v>62</v>
      </c>
      <c r="B15">
        <v>4.3</v>
      </c>
      <c r="C15" t="s">
        <v>409</v>
      </c>
      <c r="D15">
        <v>15</v>
      </c>
      <c r="E15" t="s">
        <v>410</v>
      </c>
      <c r="F15">
        <v>10.7</v>
      </c>
      <c r="G15">
        <v>250</v>
      </c>
      <c r="H15">
        <v>1.5E-3</v>
      </c>
      <c r="I15">
        <v>0.18</v>
      </c>
      <c r="J15">
        <v>0.11</v>
      </c>
      <c r="K15">
        <v>0.2</v>
      </c>
      <c r="L15">
        <v>6.9000000000000006E-2</v>
      </c>
      <c r="M15">
        <v>0.27</v>
      </c>
      <c r="N15">
        <v>1.4999999999999999E-2</v>
      </c>
      <c r="O15">
        <v>30</v>
      </c>
      <c r="P15">
        <v>57</v>
      </c>
      <c r="Q15">
        <v>12</v>
      </c>
      <c r="R15" t="s">
        <v>22</v>
      </c>
      <c r="S15" t="s">
        <v>384</v>
      </c>
      <c r="T15" s="2">
        <f t="shared" si="0"/>
        <v>2.4883720930232558</v>
      </c>
    </row>
    <row r="16" spans="1:20" x14ac:dyDescent="0.35">
      <c r="A16" t="s">
        <v>65</v>
      </c>
      <c r="B16">
        <v>24</v>
      </c>
      <c r="C16" t="s">
        <v>411</v>
      </c>
      <c r="D16">
        <v>24</v>
      </c>
      <c r="E16" t="s">
        <v>412</v>
      </c>
      <c r="F16">
        <v>0</v>
      </c>
      <c r="G16">
        <v>2.6</v>
      </c>
      <c r="H16">
        <v>0.89</v>
      </c>
      <c r="I16">
        <v>0.11</v>
      </c>
      <c r="J16">
        <v>0.34</v>
      </c>
      <c r="K16">
        <v>0.12</v>
      </c>
      <c r="L16">
        <v>0.28999999999999998</v>
      </c>
      <c r="M16">
        <v>0.28000000000000003</v>
      </c>
      <c r="N16">
        <v>1.2E-2</v>
      </c>
      <c r="O16">
        <v>27</v>
      </c>
      <c r="P16">
        <v>59</v>
      </c>
      <c r="Q16">
        <v>15</v>
      </c>
      <c r="R16" t="s">
        <v>22</v>
      </c>
      <c r="S16" t="s">
        <v>384</v>
      </c>
      <c r="T16" s="2">
        <f t="shared" si="0"/>
        <v>0</v>
      </c>
    </row>
    <row r="17" spans="1:20" x14ac:dyDescent="0.35">
      <c r="A17" t="s">
        <v>68</v>
      </c>
      <c r="B17">
        <v>13</v>
      </c>
      <c r="C17" t="s">
        <v>413</v>
      </c>
      <c r="D17">
        <v>17</v>
      </c>
      <c r="E17" t="s">
        <v>414</v>
      </c>
      <c r="F17">
        <v>4</v>
      </c>
      <c r="G17">
        <v>35</v>
      </c>
      <c r="H17">
        <v>0.44</v>
      </c>
      <c r="I17">
        <v>2.9000000000000001E-2</v>
      </c>
      <c r="J17">
        <v>0.79</v>
      </c>
      <c r="K17">
        <v>1.0999999999999999E-2</v>
      </c>
      <c r="L17">
        <v>0.92</v>
      </c>
      <c r="M17">
        <v>-8.0999999999999996E-3</v>
      </c>
      <c r="N17">
        <v>0.94</v>
      </c>
      <c r="O17">
        <v>43</v>
      </c>
      <c r="P17">
        <v>28</v>
      </c>
      <c r="Q17">
        <v>29</v>
      </c>
      <c r="R17" t="s">
        <v>22</v>
      </c>
      <c r="S17" t="s">
        <v>384</v>
      </c>
      <c r="T17" s="2">
        <f t="shared" si="0"/>
        <v>0.30769230769230771</v>
      </c>
    </row>
    <row r="18" spans="1:20" x14ac:dyDescent="0.35">
      <c r="A18" t="s">
        <v>71</v>
      </c>
      <c r="B18">
        <v>20</v>
      </c>
      <c r="C18" t="s">
        <v>415</v>
      </c>
      <c r="D18">
        <v>39</v>
      </c>
      <c r="E18" t="s">
        <v>416</v>
      </c>
      <c r="F18">
        <v>19</v>
      </c>
      <c r="G18">
        <v>95</v>
      </c>
      <c r="H18">
        <v>1.2E-2</v>
      </c>
      <c r="I18">
        <v>0.31</v>
      </c>
      <c r="J18">
        <v>5.3E-3</v>
      </c>
      <c r="K18">
        <v>0.31</v>
      </c>
      <c r="L18">
        <v>4.1000000000000003E-3</v>
      </c>
      <c r="M18">
        <v>0.32</v>
      </c>
      <c r="N18">
        <v>3.5999999999999999E-3</v>
      </c>
      <c r="O18">
        <v>27</v>
      </c>
      <c r="P18">
        <v>61</v>
      </c>
      <c r="Q18">
        <v>12</v>
      </c>
      <c r="R18" t="s">
        <v>22</v>
      </c>
      <c r="S18" t="s">
        <v>384</v>
      </c>
      <c r="T18" s="2">
        <f t="shared" si="0"/>
        <v>0.95</v>
      </c>
    </row>
    <row r="19" spans="1:20" x14ac:dyDescent="0.35">
      <c r="A19" t="s">
        <v>74</v>
      </c>
      <c r="B19">
        <v>16</v>
      </c>
      <c r="C19" t="s">
        <v>417</v>
      </c>
      <c r="D19">
        <v>31</v>
      </c>
      <c r="E19" t="s">
        <v>418</v>
      </c>
      <c r="F19">
        <v>15</v>
      </c>
      <c r="G19">
        <v>90</v>
      </c>
      <c r="H19">
        <v>1.2999999999999999E-2</v>
      </c>
      <c r="I19">
        <v>0.14000000000000001</v>
      </c>
      <c r="J19">
        <v>0.21</v>
      </c>
      <c r="K19">
        <v>0.18</v>
      </c>
      <c r="L19">
        <v>0.11</v>
      </c>
      <c r="M19">
        <v>0.43</v>
      </c>
      <c r="N19">
        <v>5.5000000000000002E-5</v>
      </c>
      <c r="O19">
        <v>30</v>
      </c>
      <c r="P19">
        <v>59</v>
      </c>
      <c r="Q19">
        <v>11</v>
      </c>
      <c r="R19" t="s">
        <v>40</v>
      </c>
      <c r="S19" t="s">
        <v>384</v>
      </c>
      <c r="T19" s="2">
        <f t="shared" si="0"/>
        <v>0.9375</v>
      </c>
    </row>
    <row r="20" spans="1:20" x14ac:dyDescent="0.35">
      <c r="A20" t="s">
        <v>77</v>
      </c>
      <c r="B20">
        <v>27</v>
      </c>
      <c r="C20" t="s">
        <v>419</v>
      </c>
      <c r="D20">
        <v>140</v>
      </c>
      <c r="E20" t="s">
        <v>420</v>
      </c>
      <c r="F20">
        <v>113</v>
      </c>
      <c r="G20">
        <v>420</v>
      </c>
      <c r="H20">
        <v>6.8999999999999996E-8</v>
      </c>
      <c r="I20">
        <v>0.35</v>
      </c>
      <c r="J20">
        <v>1.1999999999999999E-3</v>
      </c>
      <c r="K20">
        <v>0.36</v>
      </c>
      <c r="L20">
        <v>9.3999999999999997E-4</v>
      </c>
      <c r="M20">
        <v>0.38</v>
      </c>
      <c r="N20">
        <v>3.6000000000000002E-4</v>
      </c>
      <c r="O20">
        <v>40</v>
      </c>
      <c r="P20">
        <v>49</v>
      </c>
      <c r="Q20">
        <v>11</v>
      </c>
      <c r="R20" t="s">
        <v>22</v>
      </c>
      <c r="S20" t="s">
        <v>384</v>
      </c>
      <c r="T20" s="2">
        <f t="shared" si="0"/>
        <v>4.1851851851851851</v>
      </c>
    </row>
    <row r="21" spans="1:20" x14ac:dyDescent="0.35">
      <c r="A21" t="s">
        <v>81</v>
      </c>
      <c r="B21">
        <v>81</v>
      </c>
      <c r="C21" t="s">
        <v>421</v>
      </c>
      <c r="D21">
        <v>170</v>
      </c>
      <c r="E21" t="s">
        <v>422</v>
      </c>
      <c r="F21">
        <v>89</v>
      </c>
      <c r="G21">
        <v>110</v>
      </c>
      <c r="H21">
        <v>6.6E-3</v>
      </c>
      <c r="I21">
        <v>0.37</v>
      </c>
      <c r="J21">
        <v>5.9999999999999995E-4</v>
      </c>
      <c r="K21">
        <v>0.39</v>
      </c>
      <c r="L21">
        <v>2.5999999999999998E-4</v>
      </c>
      <c r="M21">
        <v>0.42</v>
      </c>
      <c r="N21">
        <v>1.1E-4</v>
      </c>
      <c r="O21">
        <v>39</v>
      </c>
      <c r="P21">
        <v>48</v>
      </c>
      <c r="Q21">
        <v>13</v>
      </c>
      <c r="R21" t="s">
        <v>40</v>
      </c>
      <c r="S21" t="s">
        <v>384</v>
      </c>
      <c r="T21" s="2">
        <f t="shared" si="0"/>
        <v>1.0987654320987654</v>
      </c>
    </row>
    <row r="22" spans="1:20" x14ac:dyDescent="0.35">
      <c r="A22" t="s">
        <v>84</v>
      </c>
      <c r="B22">
        <v>27</v>
      </c>
      <c r="C22" t="s">
        <v>423</v>
      </c>
      <c r="D22">
        <v>100</v>
      </c>
      <c r="E22" t="s">
        <v>424</v>
      </c>
      <c r="F22">
        <v>73</v>
      </c>
      <c r="G22">
        <v>270</v>
      </c>
      <c r="H22">
        <v>6.7999999999999996E-3</v>
      </c>
      <c r="I22">
        <v>0.31</v>
      </c>
      <c r="J22">
        <v>4.1000000000000003E-3</v>
      </c>
      <c r="K22">
        <v>0.33</v>
      </c>
      <c r="L22">
        <v>2.3999999999999998E-3</v>
      </c>
      <c r="M22">
        <v>0.47</v>
      </c>
      <c r="N22">
        <v>7.5000000000000002E-6</v>
      </c>
      <c r="O22">
        <v>65</v>
      </c>
      <c r="P22">
        <v>18</v>
      </c>
      <c r="Q22">
        <v>17</v>
      </c>
      <c r="R22" t="s">
        <v>40</v>
      </c>
      <c r="S22" t="s">
        <v>384</v>
      </c>
      <c r="T22" s="2">
        <f t="shared" si="0"/>
        <v>2.7037037037037037</v>
      </c>
    </row>
    <row r="23" spans="1:20" x14ac:dyDescent="0.35">
      <c r="A23" t="s">
        <v>88</v>
      </c>
      <c r="B23">
        <v>24</v>
      </c>
      <c r="C23" t="s">
        <v>425</v>
      </c>
      <c r="D23">
        <v>87</v>
      </c>
      <c r="E23" t="s">
        <v>426</v>
      </c>
      <c r="F23">
        <v>63</v>
      </c>
      <c r="G23">
        <v>260</v>
      </c>
      <c r="H23">
        <v>7.1000000000000002E-4</v>
      </c>
      <c r="I23">
        <v>0.06</v>
      </c>
      <c r="J23">
        <v>0.59</v>
      </c>
      <c r="K23">
        <v>5.5E-2</v>
      </c>
      <c r="L23">
        <v>0.62</v>
      </c>
      <c r="M23">
        <v>0.18</v>
      </c>
      <c r="N23">
        <v>0.1</v>
      </c>
      <c r="O23">
        <v>51</v>
      </c>
      <c r="P23">
        <v>29</v>
      </c>
      <c r="Q23">
        <v>20</v>
      </c>
      <c r="R23" t="s">
        <v>22</v>
      </c>
      <c r="S23" t="s">
        <v>384</v>
      </c>
      <c r="T23" s="2">
        <f t="shared" si="0"/>
        <v>2.625</v>
      </c>
    </row>
    <row r="24" spans="1:20" x14ac:dyDescent="0.35">
      <c r="A24" t="s">
        <v>91</v>
      </c>
      <c r="B24">
        <v>27</v>
      </c>
      <c r="C24" t="s">
        <v>427</v>
      </c>
      <c r="D24">
        <v>14</v>
      </c>
      <c r="E24" t="s">
        <v>428</v>
      </c>
      <c r="F24">
        <v>-13</v>
      </c>
      <c r="G24">
        <v>-50</v>
      </c>
      <c r="H24">
        <v>2.3E-3</v>
      </c>
      <c r="I24">
        <v>0.16</v>
      </c>
      <c r="J24">
        <v>0.14000000000000001</v>
      </c>
      <c r="K24">
        <v>0.04</v>
      </c>
      <c r="L24">
        <v>0.72</v>
      </c>
      <c r="M24">
        <v>0.28999999999999998</v>
      </c>
      <c r="N24">
        <v>8.5000000000000006E-3</v>
      </c>
      <c r="O24">
        <v>17</v>
      </c>
      <c r="P24">
        <v>67</v>
      </c>
      <c r="Q24">
        <v>16</v>
      </c>
      <c r="R24" t="s">
        <v>22</v>
      </c>
      <c r="S24" t="s">
        <v>384</v>
      </c>
      <c r="T24" s="2">
        <f t="shared" si="0"/>
        <v>-0.48148148148148145</v>
      </c>
    </row>
    <row r="25" spans="1:20" x14ac:dyDescent="0.35">
      <c r="A25" t="s">
        <v>92</v>
      </c>
      <c r="B25">
        <v>12</v>
      </c>
      <c r="C25" t="s">
        <v>429</v>
      </c>
      <c r="D25">
        <v>16</v>
      </c>
      <c r="E25" t="s">
        <v>430</v>
      </c>
      <c r="F25">
        <v>4</v>
      </c>
      <c r="G25">
        <v>37</v>
      </c>
      <c r="H25">
        <v>0.21</v>
      </c>
      <c r="I25">
        <v>0.18</v>
      </c>
      <c r="J25">
        <v>0.11</v>
      </c>
      <c r="K25">
        <v>0.14000000000000001</v>
      </c>
      <c r="L25">
        <v>0.21</v>
      </c>
      <c r="M25">
        <v>0.21</v>
      </c>
      <c r="N25">
        <v>5.8000000000000003E-2</v>
      </c>
      <c r="O25">
        <v>28</v>
      </c>
      <c r="P25">
        <v>55</v>
      </c>
      <c r="Q25">
        <v>17</v>
      </c>
      <c r="R25" t="s">
        <v>22</v>
      </c>
      <c r="S25" t="s">
        <v>384</v>
      </c>
      <c r="T25" s="2">
        <f t="shared" si="0"/>
        <v>0.33333333333333331</v>
      </c>
    </row>
    <row r="26" spans="1:20" x14ac:dyDescent="0.35">
      <c r="A26" t="s">
        <v>93</v>
      </c>
      <c r="B26">
        <v>430</v>
      </c>
      <c r="C26" t="s">
        <v>431</v>
      </c>
      <c r="D26">
        <v>690</v>
      </c>
      <c r="E26" t="s">
        <v>432</v>
      </c>
      <c r="F26">
        <v>260</v>
      </c>
      <c r="G26">
        <v>62</v>
      </c>
      <c r="H26">
        <v>3.1999999999999999E-5</v>
      </c>
      <c r="I26">
        <v>0.5</v>
      </c>
      <c r="J26">
        <v>1.7E-6</v>
      </c>
      <c r="K26">
        <v>0.56000000000000005</v>
      </c>
      <c r="L26">
        <v>3.4E-8</v>
      </c>
      <c r="M26">
        <v>0.41</v>
      </c>
      <c r="N26">
        <v>1.2E-4</v>
      </c>
      <c r="O26">
        <v>30</v>
      </c>
      <c r="P26">
        <v>56</v>
      </c>
      <c r="Q26">
        <v>13</v>
      </c>
      <c r="R26" t="s">
        <v>40</v>
      </c>
      <c r="S26" t="s">
        <v>384</v>
      </c>
      <c r="T26" s="2">
        <f t="shared" si="0"/>
        <v>0.60465116279069764</v>
      </c>
    </row>
    <row r="27" spans="1:20" x14ac:dyDescent="0.35">
      <c r="A27" t="s">
        <v>96</v>
      </c>
      <c r="B27">
        <v>250</v>
      </c>
      <c r="C27" t="s">
        <v>433</v>
      </c>
      <c r="D27">
        <v>230</v>
      </c>
      <c r="E27" t="s">
        <v>434</v>
      </c>
      <c r="F27">
        <v>-20</v>
      </c>
      <c r="G27">
        <v>-7.8</v>
      </c>
      <c r="H27">
        <v>0.51</v>
      </c>
      <c r="I27">
        <v>8.5000000000000006E-2</v>
      </c>
      <c r="J27">
        <v>0.45</v>
      </c>
      <c r="K27">
        <v>9.1999999999999998E-2</v>
      </c>
      <c r="L27">
        <v>0.41</v>
      </c>
      <c r="M27">
        <v>6.4000000000000001E-2</v>
      </c>
      <c r="N27">
        <v>0.56999999999999995</v>
      </c>
      <c r="O27">
        <v>22</v>
      </c>
      <c r="P27">
        <v>57</v>
      </c>
      <c r="Q27">
        <v>21</v>
      </c>
      <c r="R27" t="s">
        <v>22</v>
      </c>
      <c r="S27" t="s">
        <v>384</v>
      </c>
      <c r="T27" s="2">
        <f t="shared" si="0"/>
        <v>-0.08</v>
      </c>
    </row>
    <row r="28" spans="1:20" x14ac:dyDescent="0.35">
      <c r="A28" t="s">
        <v>99</v>
      </c>
      <c r="B28">
        <v>200</v>
      </c>
      <c r="C28" t="s">
        <v>435</v>
      </c>
      <c r="D28">
        <v>300</v>
      </c>
      <c r="E28" t="s">
        <v>436</v>
      </c>
      <c r="F28">
        <v>100</v>
      </c>
      <c r="G28">
        <v>46</v>
      </c>
      <c r="H28">
        <v>8.0000000000000002E-3</v>
      </c>
      <c r="I28">
        <v>0.28999999999999998</v>
      </c>
      <c r="J28">
        <v>8.3999999999999995E-3</v>
      </c>
      <c r="K28">
        <v>0.31</v>
      </c>
      <c r="L28">
        <v>4.1999999999999997E-3</v>
      </c>
      <c r="M28">
        <v>0.44</v>
      </c>
      <c r="N28">
        <v>3.3000000000000003E-5</v>
      </c>
      <c r="O28">
        <v>27</v>
      </c>
      <c r="P28">
        <v>65</v>
      </c>
      <c r="Q28">
        <v>8.5</v>
      </c>
      <c r="R28" t="s">
        <v>40</v>
      </c>
      <c r="S28" t="s">
        <v>384</v>
      </c>
      <c r="T28" s="2">
        <f t="shared" si="0"/>
        <v>0.5</v>
      </c>
    </row>
    <row r="29" spans="1:20" x14ac:dyDescent="0.35">
      <c r="A29" t="s">
        <v>102</v>
      </c>
      <c r="B29">
        <v>51</v>
      </c>
      <c r="C29" t="s">
        <v>437</v>
      </c>
      <c r="D29">
        <v>58</v>
      </c>
      <c r="E29" t="s">
        <v>438</v>
      </c>
      <c r="F29">
        <v>7</v>
      </c>
      <c r="G29">
        <v>13</v>
      </c>
      <c r="H29">
        <v>0.43</v>
      </c>
      <c r="I29">
        <v>0.32</v>
      </c>
      <c r="J29">
        <v>3.8999999999999998E-3</v>
      </c>
      <c r="K29">
        <v>0.32</v>
      </c>
      <c r="L29">
        <v>3.5000000000000001E-3</v>
      </c>
      <c r="M29">
        <v>6.5000000000000002E-2</v>
      </c>
      <c r="N29">
        <v>0.56000000000000005</v>
      </c>
      <c r="O29">
        <v>24</v>
      </c>
      <c r="P29">
        <v>49</v>
      </c>
      <c r="Q29">
        <v>27</v>
      </c>
      <c r="R29" t="s">
        <v>22</v>
      </c>
      <c r="S29" t="s">
        <v>384</v>
      </c>
      <c r="T29" s="2">
        <f t="shared" si="0"/>
        <v>0.13725490196078433</v>
      </c>
    </row>
    <row r="30" spans="1:20" x14ac:dyDescent="0.35">
      <c r="A30" t="s">
        <v>105</v>
      </c>
      <c r="B30">
        <v>32</v>
      </c>
      <c r="C30" t="s">
        <v>439</v>
      </c>
      <c r="D30">
        <v>18</v>
      </c>
      <c r="E30" t="s">
        <v>440</v>
      </c>
      <c r="F30">
        <v>-14</v>
      </c>
      <c r="G30">
        <v>-42</v>
      </c>
      <c r="H30">
        <v>3.4000000000000002E-2</v>
      </c>
      <c r="I30">
        <v>0.3</v>
      </c>
      <c r="J30">
        <v>5.4999999999999997E-3</v>
      </c>
      <c r="K30">
        <v>0.28999999999999998</v>
      </c>
      <c r="L30">
        <v>7.7999999999999996E-3</v>
      </c>
      <c r="M30">
        <v>0.36</v>
      </c>
      <c r="N30">
        <v>1.1000000000000001E-3</v>
      </c>
      <c r="O30">
        <v>29</v>
      </c>
      <c r="P30">
        <v>57</v>
      </c>
      <c r="Q30">
        <v>13</v>
      </c>
      <c r="R30" t="s">
        <v>22</v>
      </c>
      <c r="S30" t="s">
        <v>384</v>
      </c>
      <c r="T30" s="2">
        <f t="shared" si="0"/>
        <v>-0.4375</v>
      </c>
    </row>
    <row r="31" spans="1:20" x14ac:dyDescent="0.35">
      <c r="A31" t="s">
        <v>108</v>
      </c>
      <c r="B31">
        <v>21</v>
      </c>
      <c r="C31" t="s">
        <v>441</v>
      </c>
      <c r="D31">
        <v>46</v>
      </c>
      <c r="E31" t="s">
        <v>442</v>
      </c>
      <c r="F31">
        <v>25</v>
      </c>
      <c r="G31">
        <v>120</v>
      </c>
      <c r="H31">
        <v>2.5000000000000001E-3</v>
      </c>
      <c r="I31">
        <v>0.16</v>
      </c>
      <c r="J31">
        <v>0.16</v>
      </c>
      <c r="K31">
        <v>0.2</v>
      </c>
      <c r="L31">
        <v>7.2999999999999995E-2</v>
      </c>
      <c r="M31">
        <v>0.44</v>
      </c>
      <c r="N31">
        <v>3.4999999999999997E-5</v>
      </c>
      <c r="O31">
        <v>30</v>
      </c>
      <c r="P31">
        <v>59</v>
      </c>
      <c r="Q31">
        <v>11</v>
      </c>
      <c r="R31" t="s">
        <v>40</v>
      </c>
      <c r="S31" t="s">
        <v>384</v>
      </c>
      <c r="T31" s="2">
        <f t="shared" si="0"/>
        <v>1.1904761904761905</v>
      </c>
    </row>
    <row r="32" spans="1:20" x14ac:dyDescent="0.35">
      <c r="A32" t="s">
        <v>111</v>
      </c>
      <c r="B32">
        <v>120</v>
      </c>
      <c r="C32" t="s">
        <v>443</v>
      </c>
      <c r="D32">
        <v>140</v>
      </c>
      <c r="E32" t="s">
        <v>444</v>
      </c>
      <c r="F32">
        <v>20</v>
      </c>
      <c r="G32">
        <v>15</v>
      </c>
      <c r="H32">
        <v>0.24</v>
      </c>
      <c r="I32">
        <v>7.1999999999999995E-2</v>
      </c>
      <c r="J32">
        <v>0.52</v>
      </c>
      <c r="K32">
        <v>6.7000000000000004E-2</v>
      </c>
      <c r="L32">
        <v>0.55000000000000004</v>
      </c>
      <c r="M32">
        <v>4.4999999999999998E-2</v>
      </c>
      <c r="N32">
        <v>0.69</v>
      </c>
      <c r="O32">
        <v>21</v>
      </c>
      <c r="P32">
        <v>56</v>
      </c>
      <c r="Q32">
        <v>23</v>
      </c>
      <c r="R32" t="s">
        <v>22</v>
      </c>
      <c r="S32" t="s">
        <v>384</v>
      </c>
      <c r="T32" s="2">
        <f t="shared" si="0"/>
        <v>0.16666666666666666</v>
      </c>
    </row>
    <row r="33" spans="1:20" x14ac:dyDescent="0.35">
      <c r="A33" t="s">
        <v>114</v>
      </c>
      <c r="B33">
        <v>78</v>
      </c>
      <c r="C33" t="s">
        <v>445</v>
      </c>
      <c r="D33">
        <v>330</v>
      </c>
      <c r="E33" t="s">
        <v>446</v>
      </c>
      <c r="F33">
        <v>252</v>
      </c>
      <c r="G33">
        <v>320</v>
      </c>
      <c r="H33">
        <v>1.6000000000000001E-8</v>
      </c>
      <c r="I33">
        <v>0.24</v>
      </c>
      <c r="J33">
        <v>3.3000000000000002E-2</v>
      </c>
      <c r="K33">
        <v>0.27</v>
      </c>
      <c r="L33">
        <v>1.6E-2</v>
      </c>
      <c r="M33">
        <v>0.36</v>
      </c>
      <c r="N33">
        <v>9.7000000000000005E-4</v>
      </c>
      <c r="O33">
        <v>34</v>
      </c>
      <c r="P33">
        <v>50</v>
      </c>
      <c r="Q33">
        <v>16</v>
      </c>
      <c r="R33" t="s">
        <v>22</v>
      </c>
      <c r="S33" t="s">
        <v>384</v>
      </c>
      <c r="T33" s="2">
        <f t="shared" si="0"/>
        <v>3.2307692307692308</v>
      </c>
    </row>
    <row r="34" spans="1:20" x14ac:dyDescent="0.35">
      <c r="A34" t="s">
        <v>117</v>
      </c>
      <c r="B34">
        <v>9.1999999999999993</v>
      </c>
      <c r="C34" t="s">
        <v>447</v>
      </c>
      <c r="D34">
        <v>49</v>
      </c>
      <c r="E34" t="s">
        <v>448</v>
      </c>
      <c r="F34">
        <v>39.799999999999997</v>
      </c>
      <c r="G34">
        <v>440</v>
      </c>
      <c r="H34">
        <v>2.7999999999999998E-4</v>
      </c>
      <c r="I34">
        <v>-4.1000000000000002E-2</v>
      </c>
      <c r="J34">
        <v>0.71</v>
      </c>
      <c r="K34">
        <v>-0.1</v>
      </c>
      <c r="L34">
        <v>0.36</v>
      </c>
      <c r="M34">
        <v>9.0999999999999998E-2</v>
      </c>
      <c r="N34">
        <v>0.42</v>
      </c>
      <c r="O34">
        <v>43</v>
      </c>
      <c r="P34">
        <v>33</v>
      </c>
      <c r="Q34">
        <v>24</v>
      </c>
      <c r="R34" t="s">
        <v>22</v>
      </c>
      <c r="S34" t="s">
        <v>384</v>
      </c>
      <c r="T34" s="2">
        <f t="shared" si="0"/>
        <v>4.3260869565217392</v>
      </c>
    </row>
    <row r="35" spans="1:20" x14ac:dyDescent="0.35">
      <c r="A35" t="s">
        <v>118</v>
      </c>
      <c r="B35">
        <v>17</v>
      </c>
      <c r="C35" t="s">
        <v>449</v>
      </c>
      <c r="D35">
        <v>14</v>
      </c>
      <c r="E35" t="s">
        <v>450</v>
      </c>
      <c r="F35">
        <v>-3</v>
      </c>
      <c r="G35">
        <v>-17</v>
      </c>
      <c r="H35">
        <v>0.52</v>
      </c>
      <c r="I35">
        <v>0.11</v>
      </c>
      <c r="J35">
        <v>0.3</v>
      </c>
      <c r="K35">
        <v>2.1999999999999999E-2</v>
      </c>
      <c r="L35">
        <v>0.84</v>
      </c>
      <c r="M35">
        <v>0.18</v>
      </c>
      <c r="N35">
        <v>9.7000000000000003E-2</v>
      </c>
      <c r="O35">
        <v>28</v>
      </c>
      <c r="P35">
        <v>52</v>
      </c>
      <c r="Q35">
        <v>20</v>
      </c>
      <c r="R35" t="s">
        <v>22</v>
      </c>
      <c r="S35" t="s">
        <v>384</v>
      </c>
      <c r="T35" s="2">
        <f t="shared" si="0"/>
        <v>-0.17647058823529413</v>
      </c>
    </row>
    <row r="36" spans="1:20" x14ac:dyDescent="0.35">
      <c r="A36" t="s">
        <v>121</v>
      </c>
      <c r="B36">
        <v>21</v>
      </c>
      <c r="C36" t="s">
        <v>451</v>
      </c>
      <c r="D36">
        <v>26</v>
      </c>
      <c r="E36" t="s">
        <v>452</v>
      </c>
      <c r="F36">
        <v>5</v>
      </c>
      <c r="G36">
        <v>21</v>
      </c>
      <c r="H36">
        <v>0.4</v>
      </c>
      <c r="I36">
        <v>1.1000000000000001E-3</v>
      </c>
      <c r="J36">
        <v>0.99</v>
      </c>
      <c r="K36">
        <v>6.7000000000000002E-3</v>
      </c>
      <c r="L36">
        <v>0.95</v>
      </c>
      <c r="M36">
        <v>0.14000000000000001</v>
      </c>
      <c r="N36">
        <v>0.21</v>
      </c>
      <c r="O36">
        <v>33</v>
      </c>
      <c r="P36">
        <v>45</v>
      </c>
      <c r="Q36">
        <v>22</v>
      </c>
      <c r="R36" t="s">
        <v>22</v>
      </c>
      <c r="S36" t="s">
        <v>384</v>
      </c>
      <c r="T36" s="2">
        <f t="shared" si="0"/>
        <v>0.23809523809523808</v>
      </c>
    </row>
    <row r="37" spans="1:20" x14ac:dyDescent="0.35">
      <c r="A37" t="s">
        <v>124</v>
      </c>
      <c r="B37">
        <v>54</v>
      </c>
      <c r="C37" t="s">
        <v>453</v>
      </c>
      <c r="D37">
        <v>46</v>
      </c>
      <c r="E37" t="s">
        <v>454</v>
      </c>
      <c r="F37">
        <v>-8</v>
      </c>
      <c r="G37">
        <v>-15</v>
      </c>
      <c r="H37">
        <v>0.59</v>
      </c>
      <c r="I37">
        <v>9.4E-2</v>
      </c>
      <c r="J37">
        <v>0.4</v>
      </c>
      <c r="K37">
        <v>0.17</v>
      </c>
      <c r="L37">
        <v>0.12</v>
      </c>
      <c r="M37">
        <v>0.37</v>
      </c>
      <c r="N37">
        <v>5.9000000000000003E-4</v>
      </c>
      <c r="O37">
        <v>39</v>
      </c>
      <c r="P37">
        <v>50</v>
      </c>
      <c r="Q37">
        <v>11</v>
      </c>
      <c r="R37" t="s">
        <v>22</v>
      </c>
      <c r="S37" t="s">
        <v>384</v>
      </c>
      <c r="T37" s="2">
        <f t="shared" si="0"/>
        <v>-0.14814814814814814</v>
      </c>
    </row>
    <row r="38" spans="1:20" x14ac:dyDescent="0.35">
      <c r="A38" t="s">
        <v>50</v>
      </c>
      <c r="B38">
        <v>20</v>
      </c>
      <c r="C38" t="s">
        <v>401</v>
      </c>
      <c r="D38">
        <v>48</v>
      </c>
      <c r="E38" t="s">
        <v>402</v>
      </c>
      <c r="F38">
        <v>28</v>
      </c>
      <c r="G38">
        <v>130</v>
      </c>
      <c r="H38">
        <v>4.4000000000000003E-3</v>
      </c>
      <c r="I38">
        <v>0.65</v>
      </c>
      <c r="J38">
        <v>2.5000000000000001E-11</v>
      </c>
      <c r="K38">
        <v>0.66</v>
      </c>
      <c r="L38">
        <v>1.6999999999999999E-11</v>
      </c>
      <c r="M38">
        <v>0.51</v>
      </c>
      <c r="N38">
        <v>9.7999999999999993E-7</v>
      </c>
      <c r="O38">
        <v>57</v>
      </c>
      <c r="P38">
        <v>33</v>
      </c>
      <c r="Q38">
        <v>9.8000000000000007</v>
      </c>
      <c r="R38" t="s">
        <v>40</v>
      </c>
      <c r="S38" t="s">
        <v>384</v>
      </c>
      <c r="T38" s="2">
        <f t="shared" si="0"/>
        <v>1.4</v>
      </c>
    </row>
    <row r="39" spans="1:20" x14ac:dyDescent="0.35">
      <c r="A39" t="s">
        <v>127</v>
      </c>
      <c r="B39">
        <v>11</v>
      </c>
      <c r="C39" t="s">
        <v>455</v>
      </c>
      <c r="D39">
        <v>8.6</v>
      </c>
      <c r="E39" t="s">
        <v>456</v>
      </c>
      <c r="F39">
        <v>-2.4</v>
      </c>
      <c r="G39">
        <v>-22</v>
      </c>
      <c r="H39">
        <v>0.25</v>
      </c>
      <c r="I39">
        <v>0.17</v>
      </c>
      <c r="J39">
        <v>0.13</v>
      </c>
      <c r="K39">
        <v>0.15</v>
      </c>
      <c r="L39">
        <v>0.19</v>
      </c>
      <c r="M39">
        <v>-0.05</v>
      </c>
      <c r="N39">
        <v>0.65</v>
      </c>
      <c r="O39">
        <v>15</v>
      </c>
      <c r="P39">
        <v>59</v>
      </c>
      <c r="Q39">
        <v>27</v>
      </c>
      <c r="R39" t="s">
        <v>22</v>
      </c>
      <c r="S39" t="s">
        <v>384</v>
      </c>
      <c r="T39" s="2">
        <f t="shared" si="0"/>
        <v>-0.21818181818181823</v>
      </c>
    </row>
    <row r="40" spans="1:20" x14ac:dyDescent="0.35">
      <c r="A40" t="s">
        <v>128</v>
      </c>
      <c r="B40">
        <v>18</v>
      </c>
      <c r="C40" t="s">
        <v>457</v>
      </c>
      <c r="D40">
        <v>23</v>
      </c>
      <c r="E40" t="s">
        <v>458</v>
      </c>
      <c r="F40">
        <v>5</v>
      </c>
      <c r="G40">
        <v>30</v>
      </c>
      <c r="H40">
        <v>0.36</v>
      </c>
      <c r="I40">
        <v>0.49</v>
      </c>
      <c r="J40">
        <v>2.7999999999999999E-6</v>
      </c>
      <c r="K40">
        <v>0.55000000000000004</v>
      </c>
      <c r="L40">
        <v>1.1000000000000001E-7</v>
      </c>
      <c r="M40">
        <v>0.49</v>
      </c>
      <c r="N40">
        <v>3.8999999999999999E-6</v>
      </c>
      <c r="O40">
        <v>54</v>
      </c>
      <c r="P40">
        <v>38</v>
      </c>
      <c r="Q40">
        <v>8.5</v>
      </c>
      <c r="R40" t="s">
        <v>162</v>
      </c>
      <c r="S40" t="s">
        <v>384</v>
      </c>
      <c r="T40" s="2">
        <f t="shared" si="0"/>
        <v>0.27777777777777779</v>
      </c>
    </row>
    <row r="41" spans="1:20" x14ac:dyDescent="0.35">
      <c r="A41" t="s">
        <v>129</v>
      </c>
      <c r="B41">
        <v>120</v>
      </c>
      <c r="C41" t="s">
        <v>459</v>
      </c>
      <c r="D41">
        <v>310</v>
      </c>
      <c r="E41" t="s">
        <v>460</v>
      </c>
      <c r="F41">
        <v>190</v>
      </c>
      <c r="G41">
        <v>150</v>
      </c>
      <c r="H41">
        <v>5.3E-3</v>
      </c>
      <c r="I41">
        <v>0.6</v>
      </c>
      <c r="J41">
        <v>2.5000000000000001E-9</v>
      </c>
      <c r="K41">
        <v>0.63</v>
      </c>
      <c r="L41">
        <v>3.1999999999999998E-10</v>
      </c>
      <c r="M41">
        <v>0.46</v>
      </c>
      <c r="N41">
        <v>1.4E-5</v>
      </c>
      <c r="O41">
        <v>62</v>
      </c>
      <c r="P41">
        <v>23</v>
      </c>
      <c r="Q41">
        <v>15</v>
      </c>
      <c r="R41" t="s">
        <v>40</v>
      </c>
      <c r="S41" t="s">
        <v>384</v>
      </c>
      <c r="T41" s="2">
        <f t="shared" si="0"/>
        <v>1.5833333333333333</v>
      </c>
    </row>
    <row r="42" spans="1:20" x14ac:dyDescent="0.35">
      <c r="A42" t="s">
        <v>130</v>
      </c>
      <c r="B42">
        <v>1200</v>
      </c>
      <c r="C42" t="s">
        <v>461</v>
      </c>
      <c r="D42">
        <v>1500</v>
      </c>
      <c r="E42" t="s">
        <v>462</v>
      </c>
      <c r="F42">
        <v>300</v>
      </c>
      <c r="G42">
        <v>29</v>
      </c>
      <c r="H42">
        <v>1.1999999999999999E-3</v>
      </c>
      <c r="I42">
        <v>0.32</v>
      </c>
      <c r="J42">
        <v>3.7000000000000002E-3</v>
      </c>
      <c r="K42">
        <v>0.41</v>
      </c>
      <c r="L42">
        <v>1.2999999999999999E-4</v>
      </c>
      <c r="M42">
        <v>0.26</v>
      </c>
      <c r="N42">
        <v>0.02</v>
      </c>
      <c r="O42">
        <v>24</v>
      </c>
      <c r="P42">
        <v>60</v>
      </c>
      <c r="Q42">
        <v>16</v>
      </c>
      <c r="R42" t="s">
        <v>40</v>
      </c>
      <c r="S42" t="s">
        <v>384</v>
      </c>
      <c r="T42" s="2">
        <f t="shared" si="0"/>
        <v>0.25</v>
      </c>
    </row>
    <row r="43" spans="1:20" x14ac:dyDescent="0.35">
      <c r="A43" t="s">
        <v>133</v>
      </c>
      <c r="B43">
        <v>1500</v>
      </c>
      <c r="C43" t="s">
        <v>463</v>
      </c>
      <c r="D43">
        <v>2400</v>
      </c>
      <c r="E43" t="s">
        <v>464</v>
      </c>
      <c r="F43">
        <v>900</v>
      </c>
      <c r="G43">
        <v>56</v>
      </c>
      <c r="H43">
        <v>1.3000000000000001E-8</v>
      </c>
      <c r="I43">
        <v>0.2</v>
      </c>
      <c r="J43">
        <v>6.9000000000000006E-2</v>
      </c>
      <c r="K43">
        <v>0.45</v>
      </c>
      <c r="L43">
        <v>2.0999999999999999E-5</v>
      </c>
      <c r="M43">
        <v>0.18</v>
      </c>
      <c r="N43">
        <v>0.1</v>
      </c>
      <c r="O43">
        <v>17</v>
      </c>
      <c r="P43">
        <v>62</v>
      </c>
      <c r="Q43">
        <v>21</v>
      </c>
      <c r="R43" t="s">
        <v>40</v>
      </c>
      <c r="S43" t="s">
        <v>384</v>
      </c>
      <c r="T43" s="2">
        <f t="shared" si="0"/>
        <v>0.6</v>
      </c>
    </row>
    <row r="44" spans="1:20" x14ac:dyDescent="0.35">
      <c r="A44" t="s">
        <v>136</v>
      </c>
      <c r="B44">
        <v>2200</v>
      </c>
      <c r="C44" t="s">
        <v>465</v>
      </c>
      <c r="D44">
        <v>2500</v>
      </c>
      <c r="E44" t="s">
        <v>466</v>
      </c>
      <c r="F44">
        <v>300</v>
      </c>
      <c r="G44">
        <v>18</v>
      </c>
      <c r="H44">
        <v>2.3E-2</v>
      </c>
      <c r="I44">
        <v>0.18</v>
      </c>
      <c r="J44">
        <v>0.12</v>
      </c>
      <c r="K44">
        <v>-0.11</v>
      </c>
      <c r="L44">
        <v>0.31</v>
      </c>
      <c r="M44">
        <v>0.14000000000000001</v>
      </c>
      <c r="N44">
        <v>0.22</v>
      </c>
      <c r="O44">
        <v>26</v>
      </c>
      <c r="P44">
        <v>56</v>
      </c>
      <c r="Q44">
        <v>18</v>
      </c>
      <c r="R44" t="s">
        <v>22</v>
      </c>
      <c r="S44" t="s">
        <v>384</v>
      </c>
      <c r="T44" s="2">
        <f t="shared" si="0"/>
        <v>0.13636363636363635</v>
      </c>
    </row>
  </sheetData>
  <autoFilter ref="A1:T44" xr:uid="{EC880A2A-769D-4F80-A9B1-2B42ED07F866}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4"/>
  <sheetViews>
    <sheetView workbookViewId="0">
      <selection activeCell="I38" sqref="I38"/>
    </sheetView>
  </sheetViews>
  <sheetFormatPr baseColWidth="10" defaultRowHeight="14.5" x14ac:dyDescent="0.35"/>
  <cols>
    <col min="20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632</v>
      </c>
    </row>
    <row r="2" spans="1:20" x14ac:dyDescent="0.35">
      <c r="A2" t="s">
        <v>19</v>
      </c>
      <c r="B2">
        <v>97</v>
      </c>
      <c r="C2" t="s">
        <v>467</v>
      </c>
      <c r="D2">
        <v>99</v>
      </c>
      <c r="E2" t="s">
        <v>468</v>
      </c>
      <c r="F2">
        <v>2</v>
      </c>
      <c r="G2">
        <v>2</v>
      </c>
      <c r="H2">
        <v>0.88</v>
      </c>
      <c r="I2">
        <v>0.12</v>
      </c>
      <c r="J2">
        <v>0.3</v>
      </c>
      <c r="K2">
        <v>0.13</v>
      </c>
      <c r="L2">
        <v>0.24</v>
      </c>
      <c r="M2">
        <v>8.5000000000000006E-2</v>
      </c>
      <c r="N2">
        <v>0.45</v>
      </c>
      <c r="O2">
        <v>26</v>
      </c>
      <c r="P2">
        <v>51</v>
      </c>
      <c r="Q2">
        <v>23</v>
      </c>
      <c r="R2" t="s">
        <v>22</v>
      </c>
      <c r="S2" t="s">
        <v>469</v>
      </c>
      <c r="T2" s="2">
        <f>(D2-B2)/B2</f>
        <v>2.0618556701030927E-2</v>
      </c>
    </row>
    <row r="3" spans="1:20" x14ac:dyDescent="0.35">
      <c r="A3" t="s">
        <v>24</v>
      </c>
      <c r="B3">
        <v>7.9</v>
      </c>
      <c r="C3" t="s">
        <v>470</v>
      </c>
      <c r="D3">
        <v>7.3</v>
      </c>
      <c r="E3" t="s">
        <v>471</v>
      </c>
      <c r="F3">
        <v>-0.60000000000000098</v>
      </c>
      <c r="G3">
        <v>-8</v>
      </c>
      <c r="H3">
        <v>0.84</v>
      </c>
      <c r="I3">
        <v>0.17</v>
      </c>
      <c r="J3">
        <v>0.14000000000000001</v>
      </c>
      <c r="K3">
        <v>0.17</v>
      </c>
      <c r="L3">
        <v>0.14000000000000001</v>
      </c>
      <c r="M3">
        <v>0.43</v>
      </c>
      <c r="N3">
        <v>7.2000000000000002E-5</v>
      </c>
      <c r="O3">
        <v>53</v>
      </c>
      <c r="P3">
        <v>33</v>
      </c>
      <c r="Q3">
        <v>14</v>
      </c>
      <c r="R3" t="s">
        <v>36</v>
      </c>
      <c r="S3" t="s">
        <v>469</v>
      </c>
      <c r="T3" s="2">
        <f t="shared" ref="T3:T44" si="0">(D3-B3)/B3</f>
        <v>-7.5949367088607653E-2</v>
      </c>
    </row>
    <row r="4" spans="1:20" x14ac:dyDescent="0.35">
      <c r="A4" t="s">
        <v>27</v>
      </c>
      <c r="B4">
        <v>81</v>
      </c>
      <c r="C4" t="s">
        <v>472</v>
      </c>
      <c r="D4">
        <v>120</v>
      </c>
      <c r="E4" t="s">
        <v>473</v>
      </c>
      <c r="F4">
        <v>39</v>
      </c>
      <c r="G4">
        <v>43</v>
      </c>
      <c r="H4">
        <v>2.8000000000000001E-2</v>
      </c>
      <c r="I4">
        <v>0.26</v>
      </c>
      <c r="J4">
        <v>1.9E-2</v>
      </c>
      <c r="K4">
        <v>0.18</v>
      </c>
      <c r="L4">
        <v>0.12</v>
      </c>
      <c r="M4">
        <v>0.27</v>
      </c>
      <c r="N4">
        <v>1.4999999999999999E-2</v>
      </c>
      <c r="O4">
        <v>27</v>
      </c>
      <c r="P4">
        <v>56</v>
      </c>
      <c r="Q4">
        <v>17</v>
      </c>
      <c r="R4" t="s">
        <v>22</v>
      </c>
      <c r="S4" t="s">
        <v>469</v>
      </c>
      <c r="T4" s="2">
        <f t="shared" si="0"/>
        <v>0.48148148148148145</v>
      </c>
    </row>
    <row r="5" spans="1:20" x14ac:dyDescent="0.35">
      <c r="A5" t="s">
        <v>30</v>
      </c>
      <c r="B5">
        <v>86</v>
      </c>
      <c r="C5" t="s">
        <v>474</v>
      </c>
      <c r="D5">
        <v>110</v>
      </c>
      <c r="E5" t="s">
        <v>475</v>
      </c>
      <c r="F5">
        <v>24</v>
      </c>
      <c r="G5">
        <v>33</v>
      </c>
      <c r="H5">
        <v>0.13</v>
      </c>
      <c r="I5">
        <v>0.3</v>
      </c>
      <c r="J5">
        <v>6.7000000000000002E-3</v>
      </c>
      <c r="K5">
        <v>0.28999999999999998</v>
      </c>
      <c r="L5">
        <v>8.0000000000000002E-3</v>
      </c>
      <c r="M5">
        <v>0.13</v>
      </c>
      <c r="N5">
        <v>0.26</v>
      </c>
      <c r="O5">
        <v>22</v>
      </c>
      <c r="P5">
        <v>56</v>
      </c>
      <c r="Q5">
        <v>22</v>
      </c>
      <c r="R5" t="s">
        <v>22</v>
      </c>
      <c r="S5" t="s">
        <v>469</v>
      </c>
      <c r="T5" s="2">
        <f t="shared" si="0"/>
        <v>0.27906976744186046</v>
      </c>
    </row>
    <row r="6" spans="1:20" x14ac:dyDescent="0.35">
      <c r="A6" t="s">
        <v>33</v>
      </c>
      <c r="B6">
        <v>48</v>
      </c>
      <c r="C6" t="s">
        <v>476</v>
      </c>
      <c r="D6">
        <v>36</v>
      </c>
      <c r="E6" t="s">
        <v>477</v>
      </c>
      <c r="F6">
        <v>-12</v>
      </c>
      <c r="G6">
        <v>-26</v>
      </c>
      <c r="H6">
        <v>6.3E-2</v>
      </c>
      <c r="I6">
        <v>0.17</v>
      </c>
      <c r="J6">
        <v>0.13</v>
      </c>
      <c r="K6">
        <v>0.18</v>
      </c>
      <c r="L6">
        <v>0.11</v>
      </c>
      <c r="M6">
        <v>0.18</v>
      </c>
      <c r="N6">
        <v>0.12</v>
      </c>
      <c r="O6">
        <v>25</v>
      </c>
      <c r="P6">
        <v>54</v>
      </c>
      <c r="Q6">
        <v>21</v>
      </c>
      <c r="R6" t="s">
        <v>22</v>
      </c>
      <c r="S6" t="s">
        <v>469</v>
      </c>
      <c r="T6" s="2">
        <f t="shared" si="0"/>
        <v>-0.25</v>
      </c>
    </row>
    <row r="7" spans="1:20" x14ac:dyDescent="0.35">
      <c r="A7" t="s">
        <v>37</v>
      </c>
      <c r="B7">
        <v>150</v>
      </c>
      <c r="C7" t="s">
        <v>478</v>
      </c>
      <c r="D7">
        <v>240</v>
      </c>
      <c r="E7" t="s">
        <v>479</v>
      </c>
      <c r="F7">
        <v>90</v>
      </c>
      <c r="G7">
        <v>59</v>
      </c>
      <c r="H7">
        <v>3.1E-4</v>
      </c>
      <c r="I7">
        <v>0.43</v>
      </c>
      <c r="J7">
        <v>7.6000000000000004E-5</v>
      </c>
      <c r="K7">
        <v>0.4</v>
      </c>
      <c r="L7">
        <v>2.4000000000000001E-4</v>
      </c>
      <c r="M7">
        <v>0.47</v>
      </c>
      <c r="N7">
        <v>8.3000000000000002E-6</v>
      </c>
      <c r="O7">
        <v>28</v>
      </c>
      <c r="P7">
        <v>59</v>
      </c>
      <c r="Q7">
        <v>12</v>
      </c>
      <c r="R7" t="s">
        <v>40</v>
      </c>
      <c r="S7" t="s">
        <v>469</v>
      </c>
      <c r="T7" s="2">
        <f t="shared" si="0"/>
        <v>0.6</v>
      </c>
    </row>
    <row r="8" spans="1:20" x14ac:dyDescent="0.35">
      <c r="A8" t="s">
        <v>41</v>
      </c>
      <c r="B8">
        <v>3.5</v>
      </c>
      <c r="C8" t="s">
        <v>480</v>
      </c>
      <c r="D8">
        <v>4.0999999999999996</v>
      </c>
      <c r="E8" t="s">
        <v>481</v>
      </c>
      <c r="F8">
        <v>0.6</v>
      </c>
      <c r="G8">
        <v>19</v>
      </c>
      <c r="H8">
        <v>0.69</v>
      </c>
      <c r="I8">
        <v>0.28999999999999998</v>
      </c>
      <c r="J8">
        <v>8.0000000000000002E-3</v>
      </c>
      <c r="K8">
        <v>0.3</v>
      </c>
      <c r="L8">
        <v>6.1000000000000004E-3</v>
      </c>
      <c r="M8">
        <v>0.34</v>
      </c>
      <c r="N8">
        <v>1.8E-3</v>
      </c>
      <c r="O8">
        <v>52</v>
      </c>
      <c r="P8">
        <v>43</v>
      </c>
      <c r="Q8">
        <v>4.9000000000000004</v>
      </c>
      <c r="R8" t="s">
        <v>22</v>
      </c>
      <c r="S8" t="s">
        <v>469</v>
      </c>
      <c r="T8" s="2">
        <f t="shared" si="0"/>
        <v>0.17142857142857132</v>
      </c>
    </row>
    <row r="9" spans="1:20" x14ac:dyDescent="0.35">
      <c r="A9" t="s">
        <v>44</v>
      </c>
      <c r="B9">
        <v>77</v>
      </c>
      <c r="C9" t="s">
        <v>482</v>
      </c>
      <c r="D9">
        <v>90</v>
      </c>
      <c r="E9" t="s">
        <v>483</v>
      </c>
      <c r="F9">
        <v>13</v>
      </c>
      <c r="G9">
        <v>17</v>
      </c>
      <c r="H9">
        <v>0.36</v>
      </c>
      <c r="I9">
        <v>0.19</v>
      </c>
      <c r="J9">
        <v>9.1999999999999998E-2</v>
      </c>
      <c r="K9">
        <v>0.12</v>
      </c>
      <c r="L9">
        <v>0.3</v>
      </c>
      <c r="M9">
        <v>0.34</v>
      </c>
      <c r="N9">
        <v>1.9E-3</v>
      </c>
      <c r="O9">
        <v>26</v>
      </c>
      <c r="P9">
        <v>64</v>
      </c>
      <c r="Q9">
        <v>9.9</v>
      </c>
      <c r="R9" t="s">
        <v>22</v>
      </c>
      <c r="S9" t="s">
        <v>469</v>
      </c>
      <c r="T9" s="2">
        <f t="shared" si="0"/>
        <v>0.16883116883116883</v>
      </c>
    </row>
    <row r="10" spans="1:20" x14ac:dyDescent="0.35">
      <c r="A10" t="s">
        <v>47</v>
      </c>
      <c r="B10">
        <v>210</v>
      </c>
      <c r="C10" t="s">
        <v>484</v>
      </c>
      <c r="D10">
        <v>400</v>
      </c>
      <c r="E10" t="s">
        <v>485</v>
      </c>
      <c r="F10">
        <v>190</v>
      </c>
      <c r="G10">
        <v>92</v>
      </c>
      <c r="H10">
        <v>2.8000000000000002E-7</v>
      </c>
      <c r="I10">
        <v>0.32</v>
      </c>
      <c r="J10">
        <v>3.8999999999999998E-3</v>
      </c>
      <c r="K10">
        <v>0.32</v>
      </c>
      <c r="L10">
        <v>3.0999999999999999E-3</v>
      </c>
      <c r="M10">
        <v>0.24</v>
      </c>
      <c r="N10">
        <v>3.3000000000000002E-2</v>
      </c>
      <c r="O10">
        <v>27</v>
      </c>
      <c r="P10">
        <v>51</v>
      </c>
      <c r="Q10">
        <v>22</v>
      </c>
      <c r="R10" t="s">
        <v>22</v>
      </c>
      <c r="S10" t="s">
        <v>469</v>
      </c>
      <c r="T10" s="2">
        <f t="shared" si="0"/>
        <v>0.90476190476190477</v>
      </c>
    </row>
    <row r="11" spans="1:20" x14ac:dyDescent="0.35">
      <c r="A11" t="s">
        <v>50</v>
      </c>
      <c r="B11">
        <v>20</v>
      </c>
      <c r="C11" t="s">
        <v>486</v>
      </c>
      <c r="D11">
        <v>48</v>
      </c>
      <c r="E11" t="s">
        <v>487</v>
      </c>
      <c r="F11">
        <v>28</v>
      </c>
      <c r="G11">
        <v>140</v>
      </c>
      <c r="H11">
        <v>2.4000000000000001E-4</v>
      </c>
      <c r="I11">
        <v>0.3</v>
      </c>
      <c r="J11">
        <v>6.7999999999999996E-3</v>
      </c>
      <c r="K11">
        <v>0.32</v>
      </c>
      <c r="L11">
        <v>3.5000000000000001E-3</v>
      </c>
      <c r="M11">
        <v>0.34</v>
      </c>
      <c r="N11">
        <v>1.6999999999999999E-3</v>
      </c>
      <c r="O11">
        <v>36</v>
      </c>
      <c r="P11">
        <v>48</v>
      </c>
      <c r="Q11">
        <v>16</v>
      </c>
      <c r="R11" t="s">
        <v>22</v>
      </c>
      <c r="S11" t="s">
        <v>469</v>
      </c>
      <c r="T11" s="2">
        <f t="shared" si="0"/>
        <v>1.4</v>
      </c>
    </row>
    <row r="12" spans="1:20" x14ac:dyDescent="0.35">
      <c r="A12" t="s">
        <v>53</v>
      </c>
      <c r="B12">
        <v>5.4</v>
      </c>
      <c r="C12" t="s">
        <v>488</v>
      </c>
      <c r="D12">
        <v>7.5</v>
      </c>
      <c r="E12" t="s">
        <v>489</v>
      </c>
      <c r="F12">
        <v>2.1</v>
      </c>
      <c r="G12">
        <v>38</v>
      </c>
      <c r="H12">
        <v>0.25</v>
      </c>
      <c r="I12">
        <v>0.18</v>
      </c>
      <c r="J12">
        <v>0.11</v>
      </c>
      <c r="K12">
        <v>0.18</v>
      </c>
      <c r="L12">
        <v>9.9000000000000005E-2</v>
      </c>
      <c r="M12">
        <v>0.27</v>
      </c>
      <c r="N12">
        <v>1.6E-2</v>
      </c>
      <c r="O12">
        <v>30</v>
      </c>
      <c r="P12">
        <v>57</v>
      </c>
      <c r="Q12">
        <v>14</v>
      </c>
      <c r="R12" t="s">
        <v>22</v>
      </c>
      <c r="S12" t="s">
        <v>469</v>
      </c>
      <c r="T12" s="2">
        <f t="shared" si="0"/>
        <v>0.38888888888888878</v>
      </c>
    </row>
    <row r="13" spans="1:20" x14ac:dyDescent="0.35">
      <c r="A13" t="s">
        <v>56</v>
      </c>
      <c r="B13">
        <v>38</v>
      </c>
      <c r="C13" t="s">
        <v>490</v>
      </c>
      <c r="D13">
        <v>24</v>
      </c>
      <c r="E13" t="s">
        <v>491</v>
      </c>
      <c r="F13">
        <v>-14</v>
      </c>
      <c r="G13">
        <v>-37</v>
      </c>
      <c r="H13">
        <v>5.3999999999999999E-2</v>
      </c>
      <c r="I13">
        <v>0.19</v>
      </c>
      <c r="J13">
        <v>8.8999999999999996E-2</v>
      </c>
      <c r="K13">
        <v>0.18</v>
      </c>
      <c r="L13">
        <v>0.1</v>
      </c>
      <c r="M13">
        <v>0.15</v>
      </c>
      <c r="N13">
        <v>0.19</v>
      </c>
      <c r="O13">
        <v>27</v>
      </c>
      <c r="P13">
        <v>53</v>
      </c>
      <c r="Q13">
        <v>20</v>
      </c>
      <c r="R13" t="s">
        <v>22</v>
      </c>
      <c r="S13" t="s">
        <v>469</v>
      </c>
      <c r="T13" s="2">
        <f t="shared" si="0"/>
        <v>-0.36842105263157893</v>
      </c>
    </row>
    <row r="14" spans="1:20" x14ac:dyDescent="0.35">
      <c r="A14" t="s">
        <v>59</v>
      </c>
      <c r="B14">
        <v>71</v>
      </c>
      <c r="C14" t="s">
        <v>492</v>
      </c>
      <c r="D14">
        <v>74</v>
      </c>
      <c r="E14" t="s">
        <v>493</v>
      </c>
      <c r="F14">
        <v>3</v>
      </c>
      <c r="G14">
        <v>4.2</v>
      </c>
      <c r="H14">
        <v>0.76</v>
      </c>
      <c r="I14">
        <v>0.16</v>
      </c>
      <c r="J14">
        <v>0.16</v>
      </c>
      <c r="K14">
        <v>0.15</v>
      </c>
      <c r="L14">
        <v>0.18</v>
      </c>
      <c r="M14">
        <v>0.12</v>
      </c>
      <c r="N14">
        <v>0.28000000000000003</v>
      </c>
      <c r="O14">
        <v>23</v>
      </c>
      <c r="P14">
        <v>56</v>
      </c>
      <c r="Q14">
        <v>21</v>
      </c>
      <c r="R14" t="s">
        <v>22</v>
      </c>
      <c r="S14" t="s">
        <v>469</v>
      </c>
      <c r="T14" s="2">
        <f t="shared" si="0"/>
        <v>4.2253521126760563E-2</v>
      </c>
    </row>
    <row r="15" spans="1:20" x14ac:dyDescent="0.35">
      <c r="A15" t="s">
        <v>62</v>
      </c>
      <c r="B15">
        <v>5.7</v>
      </c>
      <c r="C15" t="s">
        <v>494</v>
      </c>
      <c r="D15">
        <v>11</v>
      </c>
      <c r="E15" t="s">
        <v>495</v>
      </c>
      <c r="F15">
        <v>5.3</v>
      </c>
      <c r="G15">
        <v>91</v>
      </c>
      <c r="H15">
        <v>0.04</v>
      </c>
      <c r="I15">
        <v>0.28000000000000003</v>
      </c>
      <c r="J15">
        <v>1.2E-2</v>
      </c>
      <c r="K15">
        <v>0.28999999999999998</v>
      </c>
      <c r="L15">
        <v>8.8000000000000005E-3</v>
      </c>
      <c r="M15">
        <v>0.22</v>
      </c>
      <c r="N15">
        <v>4.4999999999999998E-2</v>
      </c>
      <c r="O15">
        <v>38</v>
      </c>
      <c r="P15">
        <v>52</v>
      </c>
      <c r="Q15">
        <v>9.9</v>
      </c>
      <c r="R15" t="s">
        <v>22</v>
      </c>
      <c r="S15" t="s">
        <v>469</v>
      </c>
      <c r="T15" s="2">
        <f t="shared" si="0"/>
        <v>0.92982456140350866</v>
      </c>
    </row>
    <row r="16" spans="1:20" x14ac:dyDescent="0.35">
      <c r="A16" t="s">
        <v>65</v>
      </c>
      <c r="B16">
        <v>18</v>
      </c>
      <c r="C16" t="s">
        <v>496</v>
      </c>
      <c r="D16">
        <v>25</v>
      </c>
      <c r="E16" t="s">
        <v>497</v>
      </c>
      <c r="F16">
        <v>7</v>
      </c>
      <c r="G16">
        <v>41</v>
      </c>
      <c r="H16">
        <v>0.11</v>
      </c>
      <c r="I16">
        <v>0.31</v>
      </c>
      <c r="J16">
        <v>4.4999999999999997E-3</v>
      </c>
      <c r="K16">
        <v>0.28000000000000003</v>
      </c>
      <c r="L16">
        <v>1.2E-2</v>
      </c>
      <c r="M16">
        <v>0.24</v>
      </c>
      <c r="N16">
        <v>3.4000000000000002E-2</v>
      </c>
      <c r="O16">
        <v>31</v>
      </c>
      <c r="P16">
        <v>56</v>
      </c>
      <c r="Q16">
        <v>14</v>
      </c>
      <c r="R16" t="s">
        <v>22</v>
      </c>
      <c r="S16" t="s">
        <v>469</v>
      </c>
      <c r="T16" s="2">
        <f t="shared" si="0"/>
        <v>0.3888888888888889</v>
      </c>
    </row>
    <row r="17" spans="1:20" x14ac:dyDescent="0.35">
      <c r="A17" t="s">
        <v>68</v>
      </c>
      <c r="B17">
        <v>15</v>
      </c>
      <c r="C17" t="s">
        <v>498</v>
      </c>
      <c r="D17">
        <v>14</v>
      </c>
      <c r="E17" t="s">
        <v>499</v>
      </c>
      <c r="F17">
        <v>-1</v>
      </c>
      <c r="G17">
        <v>-6.8</v>
      </c>
      <c r="H17">
        <v>0.84</v>
      </c>
      <c r="I17">
        <v>0.1</v>
      </c>
      <c r="J17">
        <v>0.36</v>
      </c>
      <c r="K17">
        <v>8.6999999999999994E-2</v>
      </c>
      <c r="L17">
        <v>0.44</v>
      </c>
      <c r="M17">
        <v>9.2999999999999999E-2</v>
      </c>
      <c r="N17">
        <v>0.41</v>
      </c>
      <c r="O17">
        <v>35</v>
      </c>
      <c r="P17">
        <v>42</v>
      </c>
      <c r="Q17">
        <v>23</v>
      </c>
      <c r="R17" t="s">
        <v>22</v>
      </c>
      <c r="S17" t="s">
        <v>469</v>
      </c>
      <c r="T17" s="2">
        <f t="shared" si="0"/>
        <v>-6.6666666666666666E-2</v>
      </c>
    </row>
    <row r="18" spans="1:20" x14ac:dyDescent="0.35">
      <c r="A18" t="s">
        <v>71</v>
      </c>
      <c r="B18">
        <v>14</v>
      </c>
      <c r="C18" t="s">
        <v>500</v>
      </c>
      <c r="D18">
        <v>23</v>
      </c>
      <c r="E18" t="s">
        <v>501</v>
      </c>
      <c r="F18">
        <v>9</v>
      </c>
      <c r="G18">
        <v>64</v>
      </c>
      <c r="H18">
        <v>2.0999999999999999E-3</v>
      </c>
      <c r="I18">
        <v>7.3999999999999996E-2</v>
      </c>
      <c r="J18">
        <v>0.51</v>
      </c>
      <c r="K18">
        <v>5.7000000000000002E-2</v>
      </c>
      <c r="L18">
        <v>0.61</v>
      </c>
      <c r="M18">
        <v>8.5000000000000006E-2</v>
      </c>
      <c r="N18">
        <v>0.45</v>
      </c>
      <c r="O18">
        <v>22</v>
      </c>
      <c r="P18">
        <v>52</v>
      </c>
      <c r="Q18">
        <v>26</v>
      </c>
      <c r="R18" t="s">
        <v>22</v>
      </c>
      <c r="S18" t="s">
        <v>469</v>
      </c>
      <c r="T18" s="2">
        <f t="shared" si="0"/>
        <v>0.6428571428571429</v>
      </c>
    </row>
    <row r="19" spans="1:20" x14ac:dyDescent="0.35">
      <c r="A19" t="s">
        <v>74</v>
      </c>
      <c r="B19">
        <v>14</v>
      </c>
      <c r="C19" t="s">
        <v>502</v>
      </c>
      <c r="D19">
        <v>21</v>
      </c>
      <c r="E19" t="s">
        <v>503</v>
      </c>
      <c r="F19">
        <v>7</v>
      </c>
      <c r="G19">
        <v>58</v>
      </c>
      <c r="H19">
        <v>4.7E-2</v>
      </c>
      <c r="I19">
        <v>-2.3E-2</v>
      </c>
      <c r="J19">
        <v>0.84</v>
      </c>
      <c r="K19">
        <v>0.12</v>
      </c>
      <c r="L19">
        <v>0.27</v>
      </c>
      <c r="M19">
        <v>0.13</v>
      </c>
      <c r="N19">
        <v>0.25</v>
      </c>
      <c r="O19">
        <v>27</v>
      </c>
      <c r="P19">
        <v>49</v>
      </c>
      <c r="Q19">
        <v>23</v>
      </c>
      <c r="R19" t="s">
        <v>22</v>
      </c>
      <c r="S19" t="s">
        <v>469</v>
      </c>
      <c r="T19" s="2">
        <f t="shared" si="0"/>
        <v>0.5</v>
      </c>
    </row>
    <row r="20" spans="1:20" x14ac:dyDescent="0.35">
      <c r="A20" t="s">
        <v>77</v>
      </c>
      <c r="B20">
        <v>26</v>
      </c>
      <c r="C20" t="s">
        <v>504</v>
      </c>
      <c r="D20">
        <v>140</v>
      </c>
      <c r="E20" t="s">
        <v>505</v>
      </c>
      <c r="F20">
        <v>114</v>
      </c>
      <c r="G20">
        <v>460</v>
      </c>
      <c r="H20">
        <v>7.7000000000000001E-8</v>
      </c>
      <c r="I20">
        <v>0.26</v>
      </c>
      <c r="J20">
        <v>0.02</v>
      </c>
      <c r="K20">
        <v>0.26</v>
      </c>
      <c r="L20">
        <v>1.7000000000000001E-2</v>
      </c>
      <c r="M20">
        <v>0.31</v>
      </c>
      <c r="N20">
        <v>5.1999999999999998E-3</v>
      </c>
      <c r="O20">
        <v>32</v>
      </c>
      <c r="P20">
        <v>57</v>
      </c>
      <c r="Q20">
        <v>11</v>
      </c>
      <c r="R20" t="s">
        <v>22</v>
      </c>
      <c r="S20" t="s">
        <v>469</v>
      </c>
      <c r="T20" s="2">
        <f t="shared" si="0"/>
        <v>4.384615384615385</v>
      </c>
    </row>
    <row r="21" spans="1:20" x14ac:dyDescent="0.35">
      <c r="A21" t="s">
        <v>81</v>
      </c>
      <c r="B21">
        <v>63</v>
      </c>
      <c r="C21" t="s">
        <v>506</v>
      </c>
      <c r="D21">
        <v>150</v>
      </c>
      <c r="E21" t="s">
        <v>507</v>
      </c>
      <c r="F21">
        <v>87</v>
      </c>
      <c r="G21">
        <v>130</v>
      </c>
      <c r="H21">
        <v>2.0999999999999999E-3</v>
      </c>
      <c r="I21">
        <v>0.28000000000000003</v>
      </c>
      <c r="J21">
        <v>1.2E-2</v>
      </c>
      <c r="K21">
        <v>0.3</v>
      </c>
      <c r="L21">
        <v>7.3000000000000001E-3</v>
      </c>
      <c r="M21">
        <v>0.17</v>
      </c>
      <c r="N21">
        <v>0.13</v>
      </c>
      <c r="O21">
        <v>38</v>
      </c>
      <c r="P21">
        <v>43</v>
      </c>
      <c r="Q21">
        <v>19</v>
      </c>
      <c r="R21" t="s">
        <v>22</v>
      </c>
      <c r="S21" t="s">
        <v>469</v>
      </c>
      <c r="T21" s="2">
        <f t="shared" si="0"/>
        <v>1.3809523809523809</v>
      </c>
    </row>
    <row r="22" spans="1:20" x14ac:dyDescent="0.35">
      <c r="A22" t="s">
        <v>84</v>
      </c>
      <c r="B22">
        <v>34</v>
      </c>
      <c r="C22" t="s">
        <v>508</v>
      </c>
      <c r="D22">
        <v>110</v>
      </c>
      <c r="E22" t="s">
        <v>509</v>
      </c>
      <c r="F22">
        <v>76</v>
      </c>
      <c r="G22">
        <v>220</v>
      </c>
      <c r="H22">
        <v>2.8E-3</v>
      </c>
      <c r="I22">
        <v>0.4</v>
      </c>
      <c r="J22">
        <v>2.0000000000000001E-4</v>
      </c>
      <c r="K22">
        <v>0.41</v>
      </c>
      <c r="L22">
        <v>1.7000000000000001E-4</v>
      </c>
      <c r="M22">
        <v>0.53</v>
      </c>
      <c r="N22">
        <v>2.8999999999999998E-7</v>
      </c>
      <c r="O22">
        <v>54</v>
      </c>
      <c r="P22">
        <v>28</v>
      </c>
      <c r="Q22">
        <v>17</v>
      </c>
      <c r="R22" t="s">
        <v>40</v>
      </c>
      <c r="S22" t="s">
        <v>469</v>
      </c>
      <c r="T22" s="2">
        <f t="shared" si="0"/>
        <v>2.2352941176470589</v>
      </c>
    </row>
    <row r="23" spans="1:20" x14ac:dyDescent="0.35">
      <c r="A23" t="s">
        <v>88</v>
      </c>
      <c r="B23">
        <v>17</v>
      </c>
      <c r="C23" t="s">
        <v>510</v>
      </c>
      <c r="D23">
        <v>66</v>
      </c>
      <c r="E23" t="s">
        <v>511</v>
      </c>
      <c r="F23">
        <v>49</v>
      </c>
      <c r="G23">
        <v>300</v>
      </c>
      <c r="H23">
        <v>3.3999999999999998E-3</v>
      </c>
      <c r="I23">
        <v>0.09</v>
      </c>
      <c r="J23">
        <v>0.42</v>
      </c>
      <c r="K23">
        <v>0.2</v>
      </c>
      <c r="L23">
        <v>7.3999999999999996E-2</v>
      </c>
      <c r="M23">
        <v>0.25</v>
      </c>
      <c r="N23">
        <v>2.1999999999999999E-2</v>
      </c>
      <c r="O23">
        <v>67</v>
      </c>
      <c r="P23">
        <v>20</v>
      </c>
      <c r="Q23">
        <v>14</v>
      </c>
      <c r="R23" t="s">
        <v>22</v>
      </c>
      <c r="S23" t="s">
        <v>469</v>
      </c>
      <c r="T23" s="2">
        <f t="shared" si="0"/>
        <v>2.8823529411764706</v>
      </c>
    </row>
    <row r="24" spans="1:20" x14ac:dyDescent="0.35">
      <c r="A24" t="s">
        <v>91</v>
      </c>
      <c r="B24">
        <v>26</v>
      </c>
      <c r="C24" t="s">
        <v>512</v>
      </c>
      <c r="D24">
        <v>10</v>
      </c>
      <c r="E24" t="s">
        <v>513</v>
      </c>
      <c r="F24">
        <v>-16</v>
      </c>
      <c r="G24">
        <v>-60</v>
      </c>
      <c r="H24">
        <v>7.1999999999999998E-3</v>
      </c>
      <c r="I24">
        <v>0.15</v>
      </c>
      <c r="J24">
        <v>0.18</v>
      </c>
      <c r="K24">
        <v>4.4000000000000003E-3</v>
      </c>
      <c r="L24">
        <v>0.97</v>
      </c>
      <c r="M24">
        <v>0.31</v>
      </c>
      <c r="N24">
        <v>4.7000000000000002E-3</v>
      </c>
      <c r="O24">
        <v>33</v>
      </c>
      <c r="P24">
        <v>51</v>
      </c>
      <c r="Q24">
        <v>16</v>
      </c>
      <c r="R24" t="s">
        <v>22</v>
      </c>
      <c r="S24" t="s">
        <v>469</v>
      </c>
      <c r="T24" s="2">
        <f t="shared" si="0"/>
        <v>-0.61538461538461542</v>
      </c>
    </row>
    <row r="25" spans="1:20" x14ac:dyDescent="0.35">
      <c r="A25" t="s">
        <v>92</v>
      </c>
      <c r="B25">
        <v>12</v>
      </c>
      <c r="C25" t="s">
        <v>514</v>
      </c>
      <c r="D25">
        <v>14</v>
      </c>
      <c r="E25" t="s">
        <v>515</v>
      </c>
      <c r="F25">
        <v>2</v>
      </c>
      <c r="G25">
        <v>12</v>
      </c>
      <c r="H25">
        <v>0.56000000000000005</v>
      </c>
      <c r="I25">
        <v>0.12</v>
      </c>
      <c r="J25">
        <v>0.27</v>
      </c>
      <c r="K25">
        <v>7.0000000000000007E-2</v>
      </c>
      <c r="L25">
        <v>0.53</v>
      </c>
      <c r="M25">
        <v>0.2</v>
      </c>
      <c r="N25">
        <v>7.0999999999999994E-2</v>
      </c>
      <c r="O25">
        <v>25</v>
      </c>
      <c r="P25">
        <v>58</v>
      </c>
      <c r="Q25">
        <v>17</v>
      </c>
      <c r="R25" t="s">
        <v>22</v>
      </c>
      <c r="S25" t="s">
        <v>469</v>
      </c>
      <c r="T25" s="2">
        <f t="shared" si="0"/>
        <v>0.16666666666666666</v>
      </c>
    </row>
    <row r="26" spans="1:20" x14ac:dyDescent="0.35">
      <c r="A26" t="s">
        <v>93</v>
      </c>
      <c r="B26">
        <v>370</v>
      </c>
      <c r="C26" t="s">
        <v>516</v>
      </c>
      <c r="D26">
        <v>650</v>
      </c>
      <c r="E26" t="s">
        <v>517</v>
      </c>
      <c r="F26">
        <v>280</v>
      </c>
      <c r="G26">
        <v>77</v>
      </c>
      <c r="H26">
        <v>9.8999999999999993E-9</v>
      </c>
      <c r="I26">
        <v>0.41</v>
      </c>
      <c r="J26">
        <v>1.2999999999999999E-4</v>
      </c>
      <c r="K26">
        <v>0.41</v>
      </c>
      <c r="L26">
        <v>1.2999999999999999E-4</v>
      </c>
      <c r="M26">
        <v>0.31</v>
      </c>
      <c r="N26">
        <v>4.8999999999999998E-3</v>
      </c>
      <c r="O26">
        <v>20</v>
      </c>
      <c r="P26">
        <v>68</v>
      </c>
      <c r="Q26">
        <v>12</v>
      </c>
      <c r="R26" t="s">
        <v>40</v>
      </c>
      <c r="S26" t="s">
        <v>469</v>
      </c>
      <c r="T26" s="2">
        <f t="shared" si="0"/>
        <v>0.7567567567567568</v>
      </c>
    </row>
    <row r="27" spans="1:20" x14ac:dyDescent="0.35">
      <c r="A27" t="s">
        <v>96</v>
      </c>
      <c r="B27">
        <v>170</v>
      </c>
      <c r="C27" t="s">
        <v>518</v>
      </c>
      <c r="D27">
        <v>230</v>
      </c>
      <c r="E27" t="s">
        <v>519</v>
      </c>
      <c r="F27">
        <v>60</v>
      </c>
      <c r="G27">
        <v>38</v>
      </c>
      <c r="H27">
        <v>2.1000000000000001E-2</v>
      </c>
      <c r="I27">
        <v>0.31</v>
      </c>
      <c r="J27">
        <v>4.8999999999999998E-3</v>
      </c>
      <c r="K27">
        <v>0.25</v>
      </c>
      <c r="L27">
        <v>2.7E-2</v>
      </c>
      <c r="M27">
        <v>0.17</v>
      </c>
      <c r="N27">
        <v>0.13</v>
      </c>
      <c r="O27">
        <v>21</v>
      </c>
      <c r="P27">
        <v>59</v>
      </c>
      <c r="Q27">
        <v>20</v>
      </c>
      <c r="R27" t="s">
        <v>22</v>
      </c>
      <c r="S27" t="s">
        <v>469</v>
      </c>
      <c r="T27" s="2">
        <f t="shared" si="0"/>
        <v>0.35294117647058826</v>
      </c>
    </row>
    <row r="28" spans="1:20" x14ac:dyDescent="0.35">
      <c r="A28" t="s">
        <v>99</v>
      </c>
      <c r="B28">
        <v>190</v>
      </c>
      <c r="C28" t="s">
        <v>520</v>
      </c>
      <c r="D28">
        <v>270</v>
      </c>
      <c r="E28" t="s">
        <v>521</v>
      </c>
      <c r="F28">
        <v>80</v>
      </c>
      <c r="G28">
        <v>45</v>
      </c>
      <c r="H28">
        <v>6.1000000000000004E-3</v>
      </c>
      <c r="I28">
        <v>0.24</v>
      </c>
      <c r="J28">
        <v>3.2000000000000001E-2</v>
      </c>
      <c r="K28">
        <v>0.23</v>
      </c>
      <c r="L28">
        <v>3.5000000000000003E-2</v>
      </c>
      <c r="M28">
        <v>0.33</v>
      </c>
      <c r="N28">
        <v>2.3E-3</v>
      </c>
      <c r="O28">
        <v>27</v>
      </c>
      <c r="P28">
        <v>57</v>
      </c>
      <c r="Q28">
        <v>16</v>
      </c>
      <c r="R28" t="s">
        <v>22</v>
      </c>
      <c r="S28" t="s">
        <v>469</v>
      </c>
      <c r="T28" s="2">
        <f t="shared" si="0"/>
        <v>0.42105263157894735</v>
      </c>
    </row>
    <row r="29" spans="1:20" x14ac:dyDescent="0.35">
      <c r="A29" t="s">
        <v>102</v>
      </c>
      <c r="B29">
        <v>56</v>
      </c>
      <c r="C29" t="s">
        <v>522</v>
      </c>
      <c r="D29">
        <v>50</v>
      </c>
      <c r="E29" t="s">
        <v>523</v>
      </c>
      <c r="F29">
        <v>-6</v>
      </c>
      <c r="G29">
        <v>-12</v>
      </c>
      <c r="H29">
        <v>0.45</v>
      </c>
      <c r="I29">
        <v>0.24</v>
      </c>
      <c r="J29">
        <v>0.03</v>
      </c>
      <c r="K29">
        <v>0.2</v>
      </c>
      <c r="L29">
        <v>6.9000000000000006E-2</v>
      </c>
      <c r="M29">
        <v>0.23</v>
      </c>
      <c r="N29">
        <v>3.7999999999999999E-2</v>
      </c>
      <c r="O29">
        <v>26</v>
      </c>
      <c r="P29">
        <v>53</v>
      </c>
      <c r="Q29">
        <v>21</v>
      </c>
      <c r="R29" t="s">
        <v>22</v>
      </c>
      <c r="S29" t="s">
        <v>469</v>
      </c>
      <c r="T29" s="2">
        <f t="shared" si="0"/>
        <v>-0.10714285714285714</v>
      </c>
    </row>
    <row r="30" spans="1:20" x14ac:dyDescent="0.35">
      <c r="A30" t="s">
        <v>105</v>
      </c>
      <c r="B30">
        <v>21</v>
      </c>
      <c r="C30" t="s">
        <v>524</v>
      </c>
      <c r="D30">
        <v>17</v>
      </c>
      <c r="E30" t="s">
        <v>525</v>
      </c>
      <c r="F30">
        <v>-4</v>
      </c>
      <c r="G30">
        <v>-21</v>
      </c>
      <c r="H30">
        <v>0.38</v>
      </c>
      <c r="I30">
        <v>-2.3E-2</v>
      </c>
      <c r="J30">
        <v>0.84</v>
      </c>
      <c r="K30">
        <v>1.4E-2</v>
      </c>
      <c r="L30">
        <v>0.9</v>
      </c>
      <c r="M30">
        <v>0.14000000000000001</v>
      </c>
      <c r="N30">
        <v>0.2</v>
      </c>
      <c r="O30">
        <v>30</v>
      </c>
      <c r="P30">
        <v>48</v>
      </c>
      <c r="Q30">
        <v>22</v>
      </c>
      <c r="R30" t="s">
        <v>22</v>
      </c>
      <c r="S30" t="s">
        <v>469</v>
      </c>
      <c r="T30" s="2">
        <f t="shared" si="0"/>
        <v>-0.19047619047619047</v>
      </c>
    </row>
    <row r="31" spans="1:20" x14ac:dyDescent="0.35">
      <c r="A31" t="s">
        <v>108</v>
      </c>
      <c r="B31">
        <v>19</v>
      </c>
      <c r="C31" t="s">
        <v>526</v>
      </c>
      <c r="D31">
        <v>32</v>
      </c>
      <c r="E31" t="s">
        <v>527</v>
      </c>
      <c r="F31">
        <v>13</v>
      </c>
      <c r="G31">
        <v>68</v>
      </c>
      <c r="H31">
        <v>1.9E-2</v>
      </c>
      <c r="I31">
        <v>0.11</v>
      </c>
      <c r="J31">
        <v>0.31</v>
      </c>
      <c r="K31">
        <v>0.24</v>
      </c>
      <c r="L31">
        <v>3.2000000000000001E-2</v>
      </c>
      <c r="M31">
        <v>0.23</v>
      </c>
      <c r="N31">
        <v>0.04</v>
      </c>
      <c r="O31">
        <v>19</v>
      </c>
      <c r="P31">
        <v>63</v>
      </c>
      <c r="Q31">
        <v>19</v>
      </c>
      <c r="R31" t="s">
        <v>22</v>
      </c>
      <c r="S31" t="s">
        <v>469</v>
      </c>
      <c r="T31" s="2">
        <f t="shared" si="0"/>
        <v>0.68421052631578949</v>
      </c>
    </row>
    <row r="32" spans="1:20" x14ac:dyDescent="0.35">
      <c r="A32" t="s">
        <v>111</v>
      </c>
      <c r="B32">
        <v>93</v>
      </c>
      <c r="C32" t="s">
        <v>528</v>
      </c>
      <c r="D32">
        <v>100</v>
      </c>
      <c r="E32" t="s">
        <v>529</v>
      </c>
      <c r="F32">
        <v>7</v>
      </c>
      <c r="G32">
        <v>12</v>
      </c>
      <c r="H32">
        <v>0.34</v>
      </c>
      <c r="I32">
        <v>0.18</v>
      </c>
      <c r="J32">
        <v>0.1</v>
      </c>
      <c r="K32">
        <v>0.17</v>
      </c>
      <c r="L32">
        <v>0.12</v>
      </c>
      <c r="M32">
        <v>0.16</v>
      </c>
      <c r="N32">
        <v>0.15</v>
      </c>
      <c r="O32">
        <v>25</v>
      </c>
      <c r="P32">
        <v>59</v>
      </c>
      <c r="Q32">
        <v>16</v>
      </c>
      <c r="R32" t="s">
        <v>22</v>
      </c>
      <c r="S32" t="s">
        <v>469</v>
      </c>
      <c r="T32" s="2">
        <f t="shared" si="0"/>
        <v>7.5268817204301078E-2</v>
      </c>
    </row>
    <row r="33" spans="1:20" x14ac:dyDescent="0.35">
      <c r="A33" t="s">
        <v>114</v>
      </c>
      <c r="B33">
        <v>76</v>
      </c>
      <c r="C33" t="s">
        <v>530</v>
      </c>
      <c r="D33">
        <v>320</v>
      </c>
      <c r="E33" t="s">
        <v>531</v>
      </c>
      <c r="F33">
        <v>244</v>
      </c>
      <c r="G33">
        <v>320</v>
      </c>
      <c r="H33">
        <v>3.3000000000000002E-9</v>
      </c>
      <c r="I33">
        <v>0.3</v>
      </c>
      <c r="J33">
        <v>6.4999999999999997E-3</v>
      </c>
      <c r="K33">
        <v>0.37</v>
      </c>
      <c r="L33">
        <v>6.4999999999999997E-4</v>
      </c>
      <c r="M33">
        <v>0.44</v>
      </c>
      <c r="N33">
        <v>4.8000000000000001E-5</v>
      </c>
      <c r="O33">
        <v>31</v>
      </c>
      <c r="P33">
        <v>57</v>
      </c>
      <c r="Q33">
        <v>12</v>
      </c>
      <c r="R33" t="s">
        <v>40</v>
      </c>
      <c r="S33" t="s">
        <v>469</v>
      </c>
      <c r="T33" s="2">
        <f t="shared" si="0"/>
        <v>3.2105263157894739</v>
      </c>
    </row>
    <row r="34" spans="1:20" x14ac:dyDescent="0.35">
      <c r="A34" t="s">
        <v>117</v>
      </c>
      <c r="B34">
        <v>8.1999999999999993</v>
      </c>
      <c r="C34" t="s">
        <v>532</v>
      </c>
      <c r="D34">
        <v>28</v>
      </c>
      <c r="E34" t="s">
        <v>533</v>
      </c>
      <c r="F34">
        <v>19.8</v>
      </c>
      <c r="G34">
        <v>240</v>
      </c>
      <c r="H34">
        <v>4.4999999999999997E-3</v>
      </c>
      <c r="I34">
        <v>0.28000000000000003</v>
      </c>
      <c r="J34">
        <v>1.2E-2</v>
      </c>
      <c r="K34">
        <v>0.17</v>
      </c>
      <c r="L34">
        <v>0.14000000000000001</v>
      </c>
      <c r="M34">
        <v>0.18</v>
      </c>
      <c r="N34">
        <v>0.11</v>
      </c>
      <c r="O34">
        <v>44</v>
      </c>
      <c r="P34">
        <v>33</v>
      </c>
      <c r="Q34">
        <v>22</v>
      </c>
      <c r="R34" t="s">
        <v>22</v>
      </c>
      <c r="S34" t="s">
        <v>469</v>
      </c>
      <c r="T34" s="2">
        <f t="shared" si="0"/>
        <v>2.4146341463414638</v>
      </c>
    </row>
    <row r="35" spans="1:20" x14ac:dyDescent="0.35">
      <c r="A35" t="s">
        <v>118</v>
      </c>
      <c r="B35">
        <v>11</v>
      </c>
      <c r="C35" t="s">
        <v>534</v>
      </c>
      <c r="D35">
        <v>15</v>
      </c>
      <c r="E35" t="s">
        <v>535</v>
      </c>
      <c r="F35">
        <v>4</v>
      </c>
      <c r="G35">
        <v>28</v>
      </c>
      <c r="H35">
        <v>0.54</v>
      </c>
      <c r="I35">
        <v>-0.04</v>
      </c>
      <c r="J35">
        <v>0.72</v>
      </c>
      <c r="K35">
        <v>-9.5999999999999992E-3</v>
      </c>
      <c r="L35">
        <v>0.93</v>
      </c>
      <c r="M35">
        <v>-1.4999999999999999E-2</v>
      </c>
      <c r="N35">
        <v>0.89</v>
      </c>
      <c r="O35">
        <v>40</v>
      </c>
      <c r="P35">
        <v>41</v>
      </c>
      <c r="Q35">
        <v>20</v>
      </c>
      <c r="R35" t="s">
        <v>22</v>
      </c>
      <c r="S35" t="s">
        <v>469</v>
      </c>
      <c r="T35" s="2">
        <f t="shared" si="0"/>
        <v>0.36363636363636365</v>
      </c>
    </row>
    <row r="36" spans="1:20" x14ac:dyDescent="0.35">
      <c r="A36" t="s">
        <v>121</v>
      </c>
      <c r="B36">
        <v>15</v>
      </c>
      <c r="C36" t="s">
        <v>536</v>
      </c>
      <c r="D36">
        <v>22</v>
      </c>
      <c r="E36" t="s">
        <v>537</v>
      </c>
      <c r="F36">
        <v>7</v>
      </c>
      <c r="G36">
        <v>48</v>
      </c>
      <c r="H36">
        <v>0.17</v>
      </c>
      <c r="I36">
        <v>0.12</v>
      </c>
      <c r="J36">
        <v>0.3</v>
      </c>
      <c r="K36">
        <v>0.16</v>
      </c>
      <c r="L36">
        <v>0.16</v>
      </c>
      <c r="M36">
        <v>0.38</v>
      </c>
      <c r="N36">
        <v>5.2999999999999998E-4</v>
      </c>
      <c r="O36">
        <v>41</v>
      </c>
      <c r="P36">
        <v>44</v>
      </c>
      <c r="Q36">
        <v>15</v>
      </c>
      <c r="R36" t="s">
        <v>22</v>
      </c>
      <c r="S36" t="s">
        <v>469</v>
      </c>
      <c r="T36" s="2">
        <f t="shared" si="0"/>
        <v>0.46666666666666667</v>
      </c>
    </row>
    <row r="37" spans="1:20" x14ac:dyDescent="0.35">
      <c r="A37" t="s">
        <v>124</v>
      </c>
      <c r="B37">
        <v>22</v>
      </c>
      <c r="C37" t="s">
        <v>538</v>
      </c>
      <c r="D37">
        <v>42</v>
      </c>
      <c r="E37" t="s">
        <v>539</v>
      </c>
      <c r="F37">
        <v>20</v>
      </c>
      <c r="G37">
        <v>96</v>
      </c>
      <c r="H37">
        <v>2.8E-3</v>
      </c>
      <c r="I37">
        <v>0.44</v>
      </c>
      <c r="J37">
        <v>4.1999999999999998E-5</v>
      </c>
      <c r="K37">
        <v>0.45</v>
      </c>
      <c r="L37">
        <v>3.0000000000000001E-5</v>
      </c>
      <c r="M37">
        <v>0.39</v>
      </c>
      <c r="N37">
        <v>3.2000000000000003E-4</v>
      </c>
      <c r="O37">
        <v>30</v>
      </c>
      <c r="P37">
        <v>59</v>
      </c>
      <c r="Q37">
        <v>11</v>
      </c>
      <c r="R37" t="s">
        <v>40</v>
      </c>
      <c r="S37" t="s">
        <v>469</v>
      </c>
      <c r="T37" s="2">
        <f t="shared" si="0"/>
        <v>0.90909090909090906</v>
      </c>
    </row>
    <row r="38" spans="1:20" x14ac:dyDescent="0.35">
      <c r="A38" t="s">
        <v>50</v>
      </c>
      <c r="B38">
        <v>20</v>
      </c>
      <c r="C38" t="s">
        <v>486</v>
      </c>
      <c r="D38">
        <v>48</v>
      </c>
      <c r="E38" t="s">
        <v>487</v>
      </c>
      <c r="F38">
        <v>28</v>
      </c>
      <c r="G38">
        <v>140</v>
      </c>
      <c r="H38">
        <v>2.4000000000000001E-4</v>
      </c>
      <c r="I38">
        <v>0.3</v>
      </c>
      <c r="J38">
        <v>6.7999999999999996E-3</v>
      </c>
      <c r="K38">
        <v>0.32</v>
      </c>
      <c r="L38">
        <v>3.5000000000000001E-3</v>
      </c>
      <c r="M38">
        <v>0.34</v>
      </c>
      <c r="N38">
        <v>1.6999999999999999E-3</v>
      </c>
      <c r="O38">
        <v>36</v>
      </c>
      <c r="P38">
        <v>48</v>
      </c>
      <c r="Q38">
        <v>16</v>
      </c>
      <c r="R38" t="s">
        <v>22</v>
      </c>
      <c r="S38" t="s">
        <v>469</v>
      </c>
      <c r="T38" s="2">
        <f t="shared" si="0"/>
        <v>1.4</v>
      </c>
    </row>
    <row r="39" spans="1:20" x14ac:dyDescent="0.35">
      <c r="A39" t="s">
        <v>127</v>
      </c>
      <c r="B39">
        <v>14</v>
      </c>
      <c r="C39" t="s">
        <v>540</v>
      </c>
      <c r="D39">
        <v>9.5</v>
      </c>
      <c r="E39" t="s">
        <v>541</v>
      </c>
      <c r="F39">
        <v>-4.5</v>
      </c>
      <c r="G39">
        <v>-30</v>
      </c>
      <c r="H39">
        <v>0.1</v>
      </c>
      <c r="I39">
        <v>-0.1</v>
      </c>
      <c r="J39">
        <v>0.36</v>
      </c>
      <c r="K39">
        <v>-0.13</v>
      </c>
      <c r="L39">
        <v>0.23</v>
      </c>
      <c r="M39">
        <v>1.2999999999999999E-2</v>
      </c>
      <c r="N39">
        <v>0.91</v>
      </c>
      <c r="O39">
        <v>14</v>
      </c>
      <c r="P39">
        <v>62</v>
      </c>
      <c r="Q39">
        <v>25</v>
      </c>
      <c r="R39" t="s">
        <v>22</v>
      </c>
      <c r="S39" t="s">
        <v>469</v>
      </c>
      <c r="T39" s="2">
        <f t="shared" si="0"/>
        <v>-0.32142857142857145</v>
      </c>
    </row>
    <row r="40" spans="1:20" x14ac:dyDescent="0.35">
      <c r="A40" t="s">
        <v>128</v>
      </c>
      <c r="B40">
        <v>27</v>
      </c>
      <c r="C40" t="s">
        <v>542</v>
      </c>
      <c r="D40">
        <v>16</v>
      </c>
      <c r="E40" t="s">
        <v>543</v>
      </c>
      <c r="F40">
        <v>-11</v>
      </c>
      <c r="G40">
        <v>-39</v>
      </c>
      <c r="H40">
        <v>9.6000000000000002E-2</v>
      </c>
      <c r="I40">
        <v>0.33</v>
      </c>
      <c r="J40">
        <v>2.3E-3</v>
      </c>
      <c r="K40">
        <v>0.35</v>
      </c>
      <c r="L40">
        <v>1.2999999999999999E-3</v>
      </c>
      <c r="M40">
        <v>0.28000000000000003</v>
      </c>
      <c r="N40">
        <v>0.01</v>
      </c>
      <c r="O40">
        <v>22</v>
      </c>
      <c r="P40">
        <v>59</v>
      </c>
      <c r="Q40">
        <v>19</v>
      </c>
      <c r="R40" t="s">
        <v>22</v>
      </c>
      <c r="S40" t="s">
        <v>469</v>
      </c>
      <c r="T40" s="2">
        <f t="shared" si="0"/>
        <v>-0.40740740740740738</v>
      </c>
    </row>
    <row r="41" spans="1:20" x14ac:dyDescent="0.35">
      <c r="A41" t="s">
        <v>129</v>
      </c>
      <c r="B41">
        <v>130</v>
      </c>
      <c r="C41" t="s">
        <v>544</v>
      </c>
      <c r="D41">
        <v>310</v>
      </c>
      <c r="E41" t="s">
        <v>545</v>
      </c>
      <c r="F41">
        <v>180</v>
      </c>
      <c r="G41">
        <v>150</v>
      </c>
      <c r="H41">
        <v>4.1000000000000003E-3</v>
      </c>
      <c r="I41">
        <v>0.38</v>
      </c>
      <c r="J41">
        <v>4.4000000000000002E-4</v>
      </c>
      <c r="K41">
        <v>0.4</v>
      </c>
      <c r="L41">
        <v>2.4000000000000001E-4</v>
      </c>
      <c r="M41">
        <v>0.43</v>
      </c>
      <c r="N41">
        <v>5.8E-5</v>
      </c>
      <c r="O41">
        <v>51</v>
      </c>
      <c r="P41">
        <v>32</v>
      </c>
      <c r="Q41">
        <v>17</v>
      </c>
      <c r="R41" t="s">
        <v>40</v>
      </c>
      <c r="S41" t="s">
        <v>469</v>
      </c>
      <c r="T41" s="2">
        <f t="shared" si="0"/>
        <v>1.3846153846153846</v>
      </c>
    </row>
    <row r="42" spans="1:20" x14ac:dyDescent="0.35">
      <c r="A42" t="s">
        <v>130</v>
      </c>
      <c r="B42">
        <v>1000</v>
      </c>
      <c r="C42" t="s">
        <v>546</v>
      </c>
      <c r="D42">
        <v>1400</v>
      </c>
      <c r="E42" t="s">
        <v>547</v>
      </c>
      <c r="F42">
        <v>400</v>
      </c>
      <c r="G42">
        <v>37</v>
      </c>
      <c r="H42">
        <v>3.0000000000000001E-5</v>
      </c>
      <c r="I42">
        <v>0.32</v>
      </c>
      <c r="J42">
        <v>3.3999999999999998E-3</v>
      </c>
      <c r="K42">
        <v>0.31</v>
      </c>
      <c r="L42">
        <v>5.3E-3</v>
      </c>
      <c r="M42">
        <v>0.19</v>
      </c>
      <c r="N42">
        <v>9.6000000000000002E-2</v>
      </c>
      <c r="O42">
        <v>27</v>
      </c>
      <c r="P42">
        <v>52</v>
      </c>
      <c r="Q42">
        <v>21</v>
      </c>
      <c r="R42" t="s">
        <v>22</v>
      </c>
      <c r="S42" t="s">
        <v>469</v>
      </c>
      <c r="T42" s="2">
        <f t="shared" si="0"/>
        <v>0.4</v>
      </c>
    </row>
    <row r="43" spans="1:20" x14ac:dyDescent="0.35">
      <c r="A43" t="s">
        <v>133</v>
      </c>
      <c r="B43">
        <v>1300</v>
      </c>
      <c r="C43" t="s">
        <v>548</v>
      </c>
      <c r="D43">
        <v>2200</v>
      </c>
      <c r="E43" t="s">
        <v>549</v>
      </c>
      <c r="F43">
        <v>900</v>
      </c>
      <c r="G43">
        <v>70</v>
      </c>
      <c r="H43">
        <v>2.7E-11</v>
      </c>
      <c r="I43">
        <v>0.12</v>
      </c>
      <c r="J43">
        <v>0.27</v>
      </c>
      <c r="K43">
        <v>0.2</v>
      </c>
      <c r="L43">
        <v>6.8000000000000005E-2</v>
      </c>
      <c r="M43">
        <v>0.14000000000000001</v>
      </c>
      <c r="N43">
        <v>0.2</v>
      </c>
      <c r="O43">
        <v>31</v>
      </c>
      <c r="P43">
        <v>47</v>
      </c>
      <c r="Q43">
        <v>22</v>
      </c>
      <c r="R43" t="s">
        <v>22</v>
      </c>
      <c r="S43" t="s">
        <v>469</v>
      </c>
      <c r="T43" s="2">
        <f t="shared" si="0"/>
        <v>0.69230769230769229</v>
      </c>
    </row>
    <row r="44" spans="1:20" x14ac:dyDescent="0.35">
      <c r="A44" t="s">
        <v>136</v>
      </c>
      <c r="B44">
        <v>1800</v>
      </c>
      <c r="C44" t="s">
        <v>550</v>
      </c>
      <c r="D44">
        <v>2200</v>
      </c>
      <c r="E44" t="s">
        <v>551</v>
      </c>
      <c r="F44">
        <v>400</v>
      </c>
      <c r="G44">
        <v>20</v>
      </c>
      <c r="H44">
        <v>1.7999999999999999E-2</v>
      </c>
      <c r="I44">
        <v>0.18</v>
      </c>
      <c r="J44">
        <v>0.12</v>
      </c>
      <c r="K44">
        <v>-3.3000000000000002E-2</v>
      </c>
      <c r="L44">
        <v>0.77</v>
      </c>
      <c r="M44">
        <v>0.12</v>
      </c>
      <c r="N44">
        <v>0.27</v>
      </c>
      <c r="O44">
        <v>28</v>
      </c>
      <c r="P44">
        <v>53</v>
      </c>
      <c r="Q44">
        <v>19</v>
      </c>
      <c r="R44" t="s">
        <v>22</v>
      </c>
      <c r="S44" t="s">
        <v>469</v>
      </c>
      <c r="T44" s="2">
        <f t="shared" si="0"/>
        <v>0.22222222222222221</v>
      </c>
    </row>
  </sheetData>
  <autoFilter ref="A1:T44" xr:uid="{54420B3D-EAC2-4B1E-ABE9-C6C39FBD129B}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4"/>
  <sheetViews>
    <sheetView workbookViewId="0">
      <selection activeCell="K38" sqref="K38"/>
    </sheetView>
  </sheetViews>
  <sheetFormatPr baseColWidth="10" defaultRowHeight="14.5" x14ac:dyDescent="0.35"/>
  <cols>
    <col min="20" max="20" width="10.90625" style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632</v>
      </c>
    </row>
    <row r="2" spans="1:20" x14ac:dyDescent="0.35">
      <c r="A2" t="s">
        <v>19</v>
      </c>
      <c r="B2">
        <v>55</v>
      </c>
      <c r="C2" t="s">
        <v>552</v>
      </c>
      <c r="D2">
        <v>120</v>
      </c>
      <c r="E2" t="s">
        <v>553</v>
      </c>
      <c r="F2">
        <v>65</v>
      </c>
      <c r="G2">
        <v>120</v>
      </c>
      <c r="H2">
        <v>1.2E-4</v>
      </c>
      <c r="I2">
        <v>0.35</v>
      </c>
      <c r="J2">
        <v>1.2E-2</v>
      </c>
      <c r="K2">
        <v>0.36</v>
      </c>
      <c r="L2">
        <v>1.2E-2</v>
      </c>
      <c r="M2">
        <v>0.34</v>
      </c>
      <c r="N2">
        <v>1.6E-2</v>
      </c>
      <c r="O2">
        <v>31</v>
      </c>
      <c r="P2">
        <v>57</v>
      </c>
      <c r="Q2">
        <v>12</v>
      </c>
      <c r="R2" t="s">
        <v>22</v>
      </c>
      <c r="S2" t="s">
        <v>554</v>
      </c>
      <c r="T2" s="2">
        <f>(D2-B2)/B2</f>
        <v>1.1818181818181819</v>
      </c>
    </row>
    <row r="3" spans="1:20" x14ac:dyDescent="0.35">
      <c r="A3" t="s">
        <v>24</v>
      </c>
      <c r="B3">
        <v>4</v>
      </c>
      <c r="C3" t="s">
        <v>555</v>
      </c>
      <c r="D3">
        <v>8.6</v>
      </c>
      <c r="E3" t="s">
        <v>556</v>
      </c>
      <c r="F3">
        <v>4.5999999999999996</v>
      </c>
      <c r="G3">
        <v>120</v>
      </c>
      <c r="H3">
        <v>0.08</v>
      </c>
      <c r="I3">
        <v>0.46</v>
      </c>
      <c r="J3">
        <v>8.0000000000000004E-4</v>
      </c>
      <c r="K3">
        <v>0.46</v>
      </c>
      <c r="L3">
        <v>9.3999999999999997E-4</v>
      </c>
      <c r="M3">
        <v>0.59</v>
      </c>
      <c r="N3">
        <v>7.1999999999999997E-6</v>
      </c>
      <c r="O3">
        <v>35</v>
      </c>
      <c r="P3">
        <v>57</v>
      </c>
      <c r="Q3">
        <v>8.1999999999999993</v>
      </c>
      <c r="R3" t="s">
        <v>162</v>
      </c>
      <c r="S3" t="s">
        <v>554</v>
      </c>
      <c r="T3" s="2">
        <f t="shared" ref="T3:T44" si="0">(D3-B3)/B3</f>
        <v>1.1499999999999999</v>
      </c>
    </row>
    <row r="4" spans="1:20" x14ac:dyDescent="0.35">
      <c r="A4" t="s">
        <v>27</v>
      </c>
      <c r="B4">
        <v>68</v>
      </c>
      <c r="C4" t="s">
        <v>557</v>
      </c>
      <c r="D4">
        <v>62</v>
      </c>
      <c r="E4" t="s">
        <v>558</v>
      </c>
      <c r="F4">
        <v>-6</v>
      </c>
      <c r="G4">
        <v>-9.6999999999999993</v>
      </c>
      <c r="H4">
        <v>0.55000000000000004</v>
      </c>
      <c r="I4">
        <v>8.3000000000000004E-2</v>
      </c>
      <c r="J4">
        <v>0.56999999999999995</v>
      </c>
      <c r="K4">
        <v>9.1999999999999998E-2</v>
      </c>
      <c r="L4">
        <v>0.53</v>
      </c>
      <c r="M4">
        <v>0.11</v>
      </c>
      <c r="N4">
        <v>0.45</v>
      </c>
      <c r="O4">
        <v>27</v>
      </c>
      <c r="P4">
        <v>55</v>
      </c>
      <c r="Q4">
        <v>18</v>
      </c>
      <c r="R4" t="s">
        <v>22</v>
      </c>
      <c r="S4" t="s">
        <v>554</v>
      </c>
      <c r="T4" s="2">
        <f t="shared" si="0"/>
        <v>-8.8235294117647065E-2</v>
      </c>
    </row>
    <row r="5" spans="1:20" x14ac:dyDescent="0.35">
      <c r="A5" t="s">
        <v>30</v>
      </c>
      <c r="B5">
        <v>120</v>
      </c>
      <c r="C5" t="s">
        <v>559</v>
      </c>
      <c r="D5">
        <v>170</v>
      </c>
      <c r="E5" t="s">
        <v>560</v>
      </c>
      <c r="F5">
        <v>50</v>
      </c>
      <c r="G5">
        <v>51</v>
      </c>
      <c r="H5">
        <v>8.9999999999999993E-3</v>
      </c>
      <c r="I5">
        <v>0.12</v>
      </c>
      <c r="J5">
        <v>0.42</v>
      </c>
      <c r="K5">
        <v>8.7999999999999995E-2</v>
      </c>
      <c r="L5">
        <v>0.55000000000000004</v>
      </c>
      <c r="M5">
        <v>0.19</v>
      </c>
      <c r="N5">
        <v>0.18</v>
      </c>
      <c r="O5">
        <v>22</v>
      </c>
      <c r="P5">
        <v>63</v>
      </c>
      <c r="Q5">
        <v>14</v>
      </c>
      <c r="R5" t="s">
        <v>22</v>
      </c>
      <c r="S5" t="s">
        <v>554</v>
      </c>
      <c r="T5" s="2">
        <f t="shared" si="0"/>
        <v>0.41666666666666669</v>
      </c>
    </row>
    <row r="6" spans="1:20" x14ac:dyDescent="0.35">
      <c r="A6" t="s">
        <v>33</v>
      </c>
      <c r="B6">
        <v>32</v>
      </c>
      <c r="C6" t="s">
        <v>561</v>
      </c>
      <c r="D6">
        <v>26</v>
      </c>
      <c r="E6" t="s">
        <v>562</v>
      </c>
      <c r="F6">
        <v>-6</v>
      </c>
      <c r="G6">
        <v>-18</v>
      </c>
      <c r="H6">
        <v>0.41</v>
      </c>
      <c r="I6">
        <v>0.33</v>
      </c>
      <c r="J6">
        <v>2.1999999999999999E-2</v>
      </c>
      <c r="K6">
        <v>0.32</v>
      </c>
      <c r="L6">
        <v>2.5000000000000001E-2</v>
      </c>
      <c r="M6">
        <v>0.38</v>
      </c>
      <c r="N6">
        <v>7.0000000000000001E-3</v>
      </c>
      <c r="O6">
        <v>33</v>
      </c>
      <c r="P6">
        <v>53</v>
      </c>
      <c r="Q6">
        <v>14</v>
      </c>
      <c r="R6" t="s">
        <v>22</v>
      </c>
      <c r="S6" t="s">
        <v>554</v>
      </c>
      <c r="T6" s="2">
        <f t="shared" si="0"/>
        <v>-0.1875</v>
      </c>
    </row>
    <row r="7" spans="1:20" x14ac:dyDescent="0.35">
      <c r="A7" t="s">
        <v>37</v>
      </c>
      <c r="B7">
        <v>76</v>
      </c>
      <c r="C7" t="s">
        <v>563</v>
      </c>
      <c r="D7">
        <v>150</v>
      </c>
      <c r="E7" t="s">
        <v>564</v>
      </c>
      <c r="F7">
        <v>74</v>
      </c>
      <c r="G7">
        <v>98</v>
      </c>
      <c r="H7">
        <v>3.3E-3</v>
      </c>
      <c r="I7">
        <v>0.69</v>
      </c>
      <c r="J7">
        <v>3.7E-8</v>
      </c>
      <c r="K7">
        <v>0.71</v>
      </c>
      <c r="L7">
        <v>1.6000000000000001E-8</v>
      </c>
      <c r="M7">
        <v>0.6</v>
      </c>
      <c r="N7">
        <v>6.4999999999999996E-6</v>
      </c>
      <c r="O7">
        <v>49</v>
      </c>
      <c r="P7">
        <v>49</v>
      </c>
      <c r="Q7">
        <v>2</v>
      </c>
      <c r="R7" t="s">
        <v>40</v>
      </c>
      <c r="S7" t="s">
        <v>554</v>
      </c>
      <c r="T7" s="2">
        <f t="shared" si="0"/>
        <v>0.97368421052631582</v>
      </c>
    </row>
    <row r="8" spans="1:20" x14ac:dyDescent="0.35">
      <c r="A8" t="s">
        <v>41</v>
      </c>
      <c r="B8">
        <v>1.3</v>
      </c>
      <c r="C8" t="s">
        <v>565</v>
      </c>
      <c r="D8">
        <v>2.9</v>
      </c>
      <c r="E8" t="s">
        <v>566</v>
      </c>
      <c r="F8">
        <v>1.6</v>
      </c>
      <c r="G8">
        <v>120</v>
      </c>
      <c r="H8">
        <v>0.32</v>
      </c>
      <c r="I8">
        <v>0.38</v>
      </c>
      <c r="J8">
        <v>7.7000000000000002E-3</v>
      </c>
      <c r="K8">
        <v>0.38</v>
      </c>
      <c r="L8">
        <v>6.8999999999999999E-3</v>
      </c>
      <c r="M8">
        <v>0.4</v>
      </c>
      <c r="N8">
        <v>4.4000000000000003E-3</v>
      </c>
      <c r="O8">
        <v>49</v>
      </c>
      <c r="P8">
        <v>47</v>
      </c>
      <c r="Q8">
        <v>4.0999999999999996</v>
      </c>
      <c r="R8" t="s">
        <v>36</v>
      </c>
      <c r="S8" t="s">
        <v>554</v>
      </c>
      <c r="T8" s="2">
        <f t="shared" si="0"/>
        <v>1.2307692307692306</v>
      </c>
    </row>
    <row r="9" spans="1:20" x14ac:dyDescent="0.35">
      <c r="A9" t="s">
        <v>44</v>
      </c>
      <c r="B9">
        <v>49</v>
      </c>
      <c r="C9" t="s">
        <v>567</v>
      </c>
      <c r="D9">
        <v>54</v>
      </c>
      <c r="E9" t="s">
        <v>568</v>
      </c>
      <c r="F9">
        <v>5</v>
      </c>
      <c r="G9">
        <v>9.9</v>
      </c>
      <c r="H9">
        <v>0.7</v>
      </c>
      <c r="I9">
        <v>0.27</v>
      </c>
      <c r="J9">
        <v>6.4000000000000001E-2</v>
      </c>
      <c r="K9">
        <v>0.27</v>
      </c>
      <c r="L9">
        <v>6.4000000000000001E-2</v>
      </c>
      <c r="M9">
        <v>0.45</v>
      </c>
      <c r="N9">
        <v>1E-3</v>
      </c>
      <c r="O9">
        <v>33</v>
      </c>
      <c r="P9">
        <v>55</v>
      </c>
      <c r="Q9">
        <v>12</v>
      </c>
      <c r="R9" t="s">
        <v>36</v>
      </c>
      <c r="S9" t="s">
        <v>554</v>
      </c>
      <c r="T9" s="2">
        <f t="shared" si="0"/>
        <v>0.10204081632653061</v>
      </c>
    </row>
    <row r="10" spans="1:20" x14ac:dyDescent="0.35">
      <c r="A10" t="s">
        <v>47</v>
      </c>
      <c r="B10">
        <v>120</v>
      </c>
      <c r="C10" t="s">
        <v>569</v>
      </c>
      <c r="D10">
        <v>220</v>
      </c>
      <c r="E10" t="s">
        <v>570</v>
      </c>
      <c r="F10">
        <v>100</v>
      </c>
      <c r="G10">
        <v>79</v>
      </c>
      <c r="H10">
        <v>3.8000000000000002E-4</v>
      </c>
      <c r="I10">
        <v>0.46</v>
      </c>
      <c r="J10">
        <v>9.7000000000000005E-4</v>
      </c>
      <c r="K10">
        <v>0.45</v>
      </c>
      <c r="L10">
        <v>1.1000000000000001E-3</v>
      </c>
      <c r="M10">
        <v>0.46</v>
      </c>
      <c r="N10">
        <v>1E-3</v>
      </c>
      <c r="O10">
        <v>31</v>
      </c>
      <c r="P10">
        <v>59</v>
      </c>
      <c r="Q10">
        <v>10</v>
      </c>
      <c r="R10" t="s">
        <v>40</v>
      </c>
      <c r="S10" t="s">
        <v>554</v>
      </c>
      <c r="T10" s="2">
        <f t="shared" si="0"/>
        <v>0.83333333333333337</v>
      </c>
    </row>
    <row r="11" spans="1:20" x14ac:dyDescent="0.35">
      <c r="A11" t="s">
        <v>50</v>
      </c>
      <c r="B11">
        <v>16</v>
      </c>
      <c r="C11" t="s">
        <v>571</v>
      </c>
      <c r="D11">
        <v>24</v>
      </c>
      <c r="E11" t="s">
        <v>572</v>
      </c>
      <c r="F11">
        <v>8</v>
      </c>
      <c r="G11">
        <v>58</v>
      </c>
      <c r="H11">
        <v>0.13</v>
      </c>
      <c r="I11">
        <v>0.48</v>
      </c>
      <c r="J11">
        <v>5.1999999999999995E-4</v>
      </c>
      <c r="K11">
        <v>0.48</v>
      </c>
      <c r="L11">
        <v>5.1999999999999995E-4</v>
      </c>
      <c r="M11">
        <v>0.47</v>
      </c>
      <c r="N11">
        <v>5.6999999999999998E-4</v>
      </c>
      <c r="O11">
        <v>24</v>
      </c>
      <c r="P11">
        <v>67</v>
      </c>
      <c r="Q11">
        <v>8.1999999999999993</v>
      </c>
      <c r="R11" t="s">
        <v>162</v>
      </c>
      <c r="S11" t="s">
        <v>554</v>
      </c>
      <c r="T11" s="2">
        <f t="shared" si="0"/>
        <v>0.5</v>
      </c>
    </row>
    <row r="12" spans="1:20" x14ac:dyDescent="0.35">
      <c r="A12" t="s">
        <v>53</v>
      </c>
      <c r="B12">
        <v>3.9</v>
      </c>
      <c r="C12" t="s">
        <v>573</v>
      </c>
      <c r="D12">
        <v>2.8</v>
      </c>
      <c r="E12" t="s">
        <v>574</v>
      </c>
      <c r="F12">
        <v>-1.1000000000000001</v>
      </c>
      <c r="G12">
        <v>-26</v>
      </c>
      <c r="H12">
        <v>0.62</v>
      </c>
      <c r="I12">
        <v>0.13</v>
      </c>
      <c r="J12">
        <v>0.36</v>
      </c>
      <c r="K12">
        <v>0.16</v>
      </c>
      <c r="L12">
        <v>0.28000000000000003</v>
      </c>
      <c r="M12">
        <v>0.38</v>
      </c>
      <c r="N12">
        <v>7.6E-3</v>
      </c>
      <c r="O12">
        <v>39</v>
      </c>
      <c r="P12">
        <v>55</v>
      </c>
      <c r="Q12">
        <v>6.1</v>
      </c>
      <c r="R12" t="s">
        <v>22</v>
      </c>
      <c r="S12" t="s">
        <v>554</v>
      </c>
      <c r="T12" s="2">
        <f t="shared" si="0"/>
        <v>-0.2820512820512821</v>
      </c>
    </row>
    <row r="13" spans="1:20" x14ac:dyDescent="0.35">
      <c r="A13" t="s">
        <v>56</v>
      </c>
      <c r="B13">
        <v>0.63</v>
      </c>
      <c r="C13" t="s">
        <v>575</v>
      </c>
      <c r="D13">
        <v>42</v>
      </c>
      <c r="E13" t="s">
        <v>576</v>
      </c>
      <c r="F13">
        <v>41.37</v>
      </c>
      <c r="G13">
        <v>6500</v>
      </c>
      <c r="H13">
        <v>4.9999999999999998E-7</v>
      </c>
      <c r="I13">
        <v>4.7E-2</v>
      </c>
      <c r="J13">
        <v>0.75</v>
      </c>
      <c r="K13">
        <v>4.5999999999999999E-2</v>
      </c>
      <c r="L13">
        <v>0.75</v>
      </c>
      <c r="M13">
        <v>0.15</v>
      </c>
      <c r="N13">
        <v>0.28999999999999998</v>
      </c>
      <c r="O13">
        <v>22</v>
      </c>
      <c r="P13">
        <v>61</v>
      </c>
      <c r="Q13">
        <v>16</v>
      </c>
      <c r="R13" t="s">
        <v>22</v>
      </c>
      <c r="S13" t="s">
        <v>554</v>
      </c>
      <c r="T13" s="2">
        <f t="shared" si="0"/>
        <v>65.666666666666657</v>
      </c>
    </row>
    <row r="14" spans="1:20" x14ac:dyDescent="0.35">
      <c r="A14" t="s">
        <v>59</v>
      </c>
      <c r="B14">
        <v>69</v>
      </c>
      <c r="C14" t="s">
        <v>577</v>
      </c>
      <c r="D14">
        <v>63</v>
      </c>
      <c r="E14" t="s">
        <v>578</v>
      </c>
      <c r="F14">
        <v>-6</v>
      </c>
      <c r="G14">
        <v>-8.6999999999999993</v>
      </c>
      <c r="H14">
        <v>0.56999999999999995</v>
      </c>
      <c r="I14">
        <v>0.31</v>
      </c>
      <c r="J14">
        <v>2.9000000000000001E-2</v>
      </c>
      <c r="K14">
        <v>0.26</v>
      </c>
      <c r="L14">
        <v>7.5999999999999998E-2</v>
      </c>
      <c r="M14">
        <v>0.32</v>
      </c>
      <c r="N14">
        <v>2.4E-2</v>
      </c>
      <c r="O14">
        <v>39</v>
      </c>
      <c r="P14">
        <v>47</v>
      </c>
      <c r="Q14">
        <v>14</v>
      </c>
      <c r="R14" t="s">
        <v>22</v>
      </c>
      <c r="S14" t="s">
        <v>554</v>
      </c>
      <c r="T14" s="2">
        <f t="shared" si="0"/>
        <v>-8.6956521739130432E-2</v>
      </c>
    </row>
    <row r="15" spans="1:20" x14ac:dyDescent="0.35">
      <c r="A15" t="s">
        <v>62</v>
      </c>
      <c r="B15">
        <v>1.5</v>
      </c>
      <c r="C15" t="s">
        <v>579</v>
      </c>
      <c r="D15">
        <v>9.9</v>
      </c>
      <c r="E15" t="s">
        <v>580</v>
      </c>
      <c r="F15">
        <v>8.4</v>
      </c>
      <c r="G15">
        <v>570</v>
      </c>
      <c r="H15">
        <v>9.7999999999999997E-4</v>
      </c>
      <c r="I15">
        <v>0.35</v>
      </c>
      <c r="J15">
        <v>1.2999999999999999E-2</v>
      </c>
      <c r="K15">
        <v>0.36</v>
      </c>
      <c r="L15">
        <v>1.2E-2</v>
      </c>
      <c r="M15">
        <v>0.37</v>
      </c>
      <c r="N15">
        <v>8.0999999999999996E-3</v>
      </c>
      <c r="O15">
        <v>20</v>
      </c>
      <c r="P15">
        <v>76</v>
      </c>
      <c r="Q15">
        <v>4.0999999999999996</v>
      </c>
      <c r="R15" t="s">
        <v>22</v>
      </c>
      <c r="S15" t="s">
        <v>554</v>
      </c>
      <c r="T15" s="2">
        <f t="shared" si="0"/>
        <v>5.6000000000000005</v>
      </c>
    </row>
    <row r="16" spans="1:20" x14ac:dyDescent="0.35">
      <c r="A16" t="s">
        <v>65</v>
      </c>
      <c r="B16">
        <v>17</v>
      </c>
      <c r="C16" t="s">
        <v>581</v>
      </c>
      <c r="D16">
        <v>27</v>
      </c>
      <c r="E16" t="s">
        <v>582</v>
      </c>
      <c r="F16">
        <v>10</v>
      </c>
      <c r="G16">
        <v>63</v>
      </c>
      <c r="H16">
        <v>6.0999999999999999E-2</v>
      </c>
      <c r="I16">
        <v>0.49</v>
      </c>
      <c r="J16">
        <v>3.6000000000000002E-4</v>
      </c>
      <c r="K16">
        <v>0.44</v>
      </c>
      <c r="L16">
        <v>1.5E-3</v>
      </c>
      <c r="M16">
        <v>0.42</v>
      </c>
      <c r="N16">
        <v>2.5999999999999999E-3</v>
      </c>
      <c r="O16">
        <v>31</v>
      </c>
      <c r="P16">
        <v>59</v>
      </c>
      <c r="Q16">
        <v>10</v>
      </c>
      <c r="R16" t="s">
        <v>162</v>
      </c>
      <c r="S16" t="s">
        <v>554</v>
      </c>
      <c r="T16" s="2">
        <f t="shared" si="0"/>
        <v>0.58823529411764708</v>
      </c>
    </row>
    <row r="17" spans="1:20" x14ac:dyDescent="0.35">
      <c r="A17" t="s">
        <v>68</v>
      </c>
      <c r="B17">
        <v>23</v>
      </c>
      <c r="C17" t="s">
        <v>583</v>
      </c>
      <c r="D17">
        <v>16</v>
      </c>
      <c r="E17" t="s">
        <v>584</v>
      </c>
      <c r="F17">
        <v>-7</v>
      </c>
      <c r="G17">
        <v>-30</v>
      </c>
      <c r="H17">
        <v>0.16</v>
      </c>
      <c r="I17">
        <v>0.36</v>
      </c>
      <c r="J17">
        <v>9.9000000000000008E-3</v>
      </c>
      <c r="K17">
        <v>0.32</v>
      </c>
      <c r="L17">
        <v>2.3E-2</v>
      </c>
      <c r="M17">
        <v>0.4</v>
      </c>
      <c r="N17">
        <v>4.3E-3</v>
      </c>
      <c r="O17">
        <v>27</v>
      </c>
      <c r="P17">
        <v>61</v>
      </c>
      <c r="Q17">
        <v>12</v>
      </c>
      <c r="R17" t="s">
        <v>36</v>
      </c>
      <c r="S17" t="s">
        <v>554</v>
      </c>
      <c r="T17" s="2">
        <f t="shared" si="0"/>
        <v>-0.30434782608695654</v>
      </c>
    </row>
    <row r="18" spans="1:20" x14ac:dyDescent="0.35">
      <c r="A18" t="s">
        <v>71</v>
      </c>
      <c r="B18">
        <v>26</v>
      </c>
      <c r="C18" t="s">
        <v>585</v>
      </c>
      <c r="D18">
        <v>38</v>
      </c>
      <c r="E18" t="s">
        <v>586</v>
      </c>
      <c r="F18">
        <v>12</v>
      </c>
      <c r="G18">
        <v>49</v>
      </c>
      <c r="H18">
        <v>0.11</v>
      </c>
      <c r="I18">
        <v>0.31</v>
      </c>
      <c r="J18">
        <v>0.03</v>
      </c>
      <c r="K18">
        <v>0.24</v>
      </c>
      <c r="L18">
        <v>9.4E-2</v>
      </c>
      <c r="M18">
        <v>0.47</v>
      </c>
      <c r="N18">
        <v>6.7000000000000002E-4</v>
      </c>
      <c r="O18">
        <v>24</v>
      </c>
      <c r="P18">
        <v>69</v>
      </c>
      <c r="Q18">
        <v>6.1</v>
      </c>
      <c r="R18" t="s">
        <v>36</v>
      </c>
      <c r="S18" t="s">
        <v>554</v>
      </c>
      <c r="T18" s="2">
        <f t="shared" si="0"/>
        <v>0.46153846153846156</v>
      </c>
    </row>
    <row r="19" spans="1:20" x14ac:dyDescent="0.35">
      <c r="A19" t="s">
        <v>74</v>
      </c>
      <c r="B19">
        <v>18</v>
      </c>
      <c r="C19" t="s">
        <v>587</v>
      </c>
      <c r="D19">
        <v>30</v>
      </c>
      <c r="E19" t="s">
        <v>588</v>
      </c>
      <c r="F19">
        <v>12</v>
      </c>
      <c r="G19">
        <v>65</v>
      </c>
      <c r="H19">
        <v>6.6000000000000003E-2</v>
      </c>
      <c r="I19">
        <v>0.31</v>
      </c>
      <c r="J19">
        <v>2.8000000000000001E-2</v>
      </c>
      <c r="K19">
        <v>0.3</v>
      </c>
      <c r="L19">
        <v>3.4000000000000002E-2</v>
      </c>
      <c r="M19">
        <v>0.59</v>
      </c>
      <c r="N19">
        <v>6.9E-6</v>
      </c>
      <c r="O19">
        <v>33</v>
      </c>
      <c r="P19">
        <v>59</v>
      </c>
      <c r="Q19">
        <v>8.1999999999999993</v>
      </c>
      <c r="R19" t="s">
        <v>36</v>
      </c>
      <c r="S19" t="s">
        <v>554</v>
      </c>
      <c r="T19" s="2">
        <f t="shared" si="0"/>
        <v>0.66666666666666663</v>
      </c>
    </row>
    <row r="20" spans="1:20" x14ac:dyDescent="0.35">
      <c r="A20" t="s">
        <v>77</v>
      </c>
      <c r="B20">
        <v>27</v>
      </c>
      <c r="C20" t="s">
        <v>589</v>
      </c>
      <c r="D20">
        <v>130</v>
      </c>
      <c r="E20" t="s">
        <v>590</v>
      </c>
      <c r="F20">
        <v>103</v>
      </c>
      <c r="G20">
        <v>370</v>
      </c>
      <c r="H20">
        <v>0.11</v>
      </c>
      <c r="I20">
        <v>0.23</v>
      </c>
      <c r="J20">
        <v>0.12</v>
      </c>
      <c r="K20">
        <v>0.22</v>
      </c>
      <c r="L20">
        <v>0.12</v>
      </c>
      <c r="M20">
        <v>0.42</v>
      </c>
      <c r="N20">
        <v>3.0000000000000001E-3</v>
      </c>
      <c r="O20">
        <v>45</v>
      </c>
      <c r="P20">
        <v>43</v>
      </c>
      <c r="Q20">
        <v>12</v>
      </c>
      <c r="R20" t="s">
        <v>36</v>
      </c>
      <c r="S20" t="s">
        <v>554</v>
      </c>
      <c r="T20" s="2">
        <f t="shared" si="0"/>
        <v>3.8148148148148149</v>
      </c>
    </row>
    <row r="21" spans="1:20" x14ac:dyDescent="0.35">
      <c r="A21" t="s">
        <v>81</v>
      </c>
      <c r="B21">
        <v>46</v>
      </c>
      <c r="C21" t="s">
        <v>591</v>
      </c>
      <c r="D21">
        <v>86</v>
      </c>
      <c r="E21" t="s">
        <v>592</v>
      </c>
      <c r="F21">
        <v>40</v>
      </c>
      <c r="G21">
        <v>89</v>
      </c>
      <c r="H21">
        <v>0.24</v>
      </c>
      <c r="I21">
        <v>0.83</v>
      </c>
      <c r="J21">
        <v>2.6E-13</v>
      </c>
      <c r="K21">
        <v>0.83</v>
      </c>
      <c r="L21">
        <v>1.9E-13</v>
      </c>
      <c r="M21">
        <v>0.7</v>
      </c>
      <c r="N21">
        <v>1.7E-8</v>
      </c>
      <c r="O21">
        <v>59</v>
      </c>
      <c r="P21">
        <v>35</v>
      </c>
      <c r="Q21">
        <v>6.1</v>
      </c>
      <c r="R21" t="s">
        <v>593</v>
      </c>
      <c r="S21" t="s">
        <v>554</v>
      </c>
      <c r="T21" s="2">
        <f t="shared" si="0"/>
        <v>0.86956521739130432</v>
      </c>
    </row>
    <row r="22" spans="1:20" x14ac:dyDescent="0.35">
      <c r="A22" t="s">
        <v>84</v>
      </c>
      <c r="B22">
        <v>18</v>
      </c>
      <c r="C22" t="s">
        <v>594</v>
      </c>
      <c r="D22">
        <v>59</v>
      </c>
      <c r="E22" t="s">
        <v>595</v>
      </c>
      <c r="F22">
        <v>41</v>
      </c>
      <c r="G22">
        <v>220</v>
      </c>
      <c r="H22">
        <v>0.16</v>
      </c>
      <c r="I22">
        <v>0.73</v>
      </c>
      <c r="J22">
        <v>3.2000000000000001E-9</v>
      </c>
      <c r="K22">
        <v>0.75</v>
      </c>
      <c r="L22">
        <v>5.3000000000000003E-10</v>
      </c>
      <c r="M22">
        <v>0.42</v>
      </c>
      <c r="N22">
        <v>2.3999999999999998E-3</v>
      </c>
      <c r="O22">
        <v>53</v>
      </c>
      <c r="P22">
        <v>29</v>
      </c>
      <c r="Q22">
        <v>18</v>
      </c>
      <c r="R22" t="s">
        <v>80</v>
      </c>
      <c r="S22" t="s">
        <v>554</v>
      </c>
      <c r="T22" s="2">
        <f t="shared" si="0"/>
        <v>2.2777777777777777</v>
      </c>
    </row>
    <row r="23" spans="1:20" x14ac:dyDescent="0.35">
      <c r="A23" t="s">
        <v>88</v>
      </c>
      <c r="B23">
        <v>45</v>
      </c>
      <c r="C23" t="s">
        <v>596</v>
      </c>
      <c r="D23">
        <v>30</v>
      </c>
      <c r="E23" t="s">
        <v>597</v>
      </c>
      <c r="F23">
        <v>-15</v>
      </c>
      <c r="G23">
        <v>-32</v>
      </c>
      <c r="H23">
        <v>0.36</v>
      </c>
      <c r="I23">
        <v>0.44</v>
      </c>
      <c r="J23">
        <v>1.6000000000000001E-3</v>
      </c>
      <c r="K23">
        <v>0.44</v>
      </c>
      <c r="L23">
        <v>1.6000000000000001E-3</v>
      </c>
      <c r="M23">
        <v>0.23</v>
      </c>
      <c r="N23">
        <v>0.12</v>
      </c>
      <c r="O23">
        <v>33</v>
      </c>
      <c r="P23">
        <v>51</v>
      </c>
      <c r="Q23">
        <v>16</v>
      </c>
      <c r="R23" t="s">
        <v>36</v>
      </c>
      <c r="S23" t="s">
        <v>554</v>
      </c>
      <c r="T23" s="2">
        <f t="shared" si="0"/>
        <v>-0.33333333333333331</v>
      </c>
    </row>
    <row r="24" spans="1:20" x14ac:dyDescent="0.35">
      <c r="A24" t="s">
        <v>91</v>
      </c>
      <c r="B24">
        <v>19</v>
      </c>
      <c r="C24" t="s">
        <v>598</v>
      </c>
      <c r="D24">
        <v>11</v>
      </c>
      <c r="E24" t="s">
        <v>599</v>
      </c>
      <c r="F24">
        <v>-8</v>
      </c>
      <c r="G24">
        <v>-41</v>
      </c>
      <c r="H24">
        <v>7.9000000000000001E-2</v>
      </c>
      <c r="I24">
        <v>0.48</v>
      </c>
      <c r="J24">
        <v>5.1000000000000004E-4</v>
      </c>
      <c r="K24">
        <v>0.45</v>
      </c>
      <c r="L24">
        <v>1.1999999999999999E-3</v>
      </c>
      <c r="M24">
        <v>0.61</v>
      </c>
      <c r="N24">
        <v>3.8E-6</v>
      </c>
      <c r="O24">
        <v>41</v>
      </c>
      <c r="P24">
        <v>53</v>
      </c>
      <c r="Q24">
        <v>6.1</v>
      </c>
      <c r="R24" t="s">
        <v>80</v>
      </c>
      <c r="S24" t="s">
        <v>554</v>
      </c>
      <c r="T24" s="2">
        <f t="shared" si="0"/>
        <v>-0.42105263157894735</v>
      </c>
    </row>
    <row r="25" spans="1:20" x14ac:dyDescent="0.35">
      <c r="A25" t="s">
        <v>92</v>
      </c>
      <c r="R25" t="s">
        <v>87</v>
      </c>
      <c r="S25" t="s">
        <v>554</v>
      </c>
      <c r="T25" s="2" t="e">
        <f t="shared" si="0"/>
        <v>#DIV/0!</v>
      </c>
    </row>
    <row r="26" spans="1:20" x14ac:dyDescent="0.35">
      <c r="A26" t="s">
        <v>93</v>
      </c>
      <c r="B26">
        <v>210</v>
      </c>
      <c r="C26" t="s">
        <v>600</v>
      </c>
      <c r="D26">
        <v>380</v>
      </c>
      <c r="E26" t="s">
        <v>601</v>
      </c>
      <c r="F26">
        <v>170</v>
      </c>
      <c r="G26">
        <v>84</v>
      </c>
      <c r="H26">
        <v>1.9000000000000001E-4</v>
      </c>
      <c r="I26">
        <v>0.69</v>
      </c>
      <c r="J26">
        <v>5.1E-8</v>
      </c>
      <c r="K26">
        <v>0.7</v>
      </c>
      <c r="L26">
        <v>2.1999999999999998E-8</v>
      </c>
      <c r="M26">
        <v>0.59</v>
      </c>
      <c r="N26">
        <v>9.7999999999999993E-6</v>
      </c>
      <c r="O26">
        <v>35</v>
      </c>
      <c r="P26">
        <v>59</v>
      </c>
      <c r="Q26">
        <v>6.1</v>
      </c>
      <c r="R26" t="s">
        <v>40</v>
      </c>
      <c r="S26" t="s">
        <v>554</v>
      </c>
      <c r="T26" s="2">
        <f t="shared" si="0"/>
        <v>0.80952380952380953</v>
      </c>
    </row>
    <row r="27" spans="1:20" x14ac:dyDescent="0.35">
      <c r="A27" t="s">
        <v>96</v>
      </c>
      <c r="B27">
        <v>180</v>
      </c>
      <c r="C27" t="s">
        <v>602</v>
      </c>
      <c r="D27">
        <v>230</v>
      </c>
      <c r="E27" t="s">
        <v>603</v>
      </c>
      <c r="F27">
        <v>50</v>
      </c>
      <c r="G27">
        <v>28</v>
      </c>
      <c r="H27">
        <v>0.08</v>
      </c>
      <c r="I27">
        <v>4.4999999999999998E-2</v>
      </c>
      <c r="J27">
        <v>0.76</v>
      </c>
      <c r="K27">
        <v>7.3000000000000001E-3</v>
      </c>
      <c r="L27">
        <v>0.96</v>
      </c>
      <c r="M27">
        <v>0.15</v>
      </c>
      <c r="N27">
        <v>0.31</v>
      </c>
      <c r="O27">
        <v>22</v>
      </c>
      <c r="P27">
        <v>61</v>
      </c>
      <c r="Q27">
        <v>16</v>
      </c>
      <c r="R27" t="s">
        <v>22</v>
      </c>
      <c r="S27" t="s">
        <v>554</v>
      </c>
      <c r="T27" s="2">
        <f t="shared" si="0"/>
        <v>0.27777777777777779</v>
      </c>
    </row>
    <row r="28" spans="1:20" x14ac:dyDescent="0.35">
      <c r="A28" t="s">
        <v>99</v>
      </c>
      <c r="B28">
        <v>130</v>
      </c>
      <c r="C28" t="s">
        <v>604</v>
      </c>
      <c r="D28">
        <v>170</v>
      </c>
      <c r="E28" t="s">
        <v>605</v>
      </c>
      <c r="F28">
        <v>40</v>
      </c>
      <c r="G28">
        <v>31</v>
      </c>
      <c r="H28">
        <v>0.32</v>
      </c>
      <c r="I28">
        <v>0.66</v>
      </c>
      <c r="J28">
        <v>2.2999999999999999E-7</v>
      </c>
      <c r="K28">
        <v>0.68</v>
      </c>
      <c r="L28">
        <v>8.7999999999999994E-8</v>
      </c>
      <c r="M28">
        <v>0.42</v>
      </c>
      <c r="N28">
        <v>3.0000000000000001E-3</v>
      </c>
      <c r="O28">
        <v>35</v>
      </c>
      <c r="P28">
        <v>51</v>
      </c>
      <c r="Q28">
        <v>14</v>
      </c>
      <c r="R28" t="s">
        <v>80</v>
      </c>
      <c r="S28" t="s">
        <v>554</v>
      </c>
      <c r="T28" s="2">
        <f t="shared" si="0"/>
        <v>0.30769230769230771</v>
      </c>
    </row>
    <row r="29" spans="1:20" x14ac:dyDescent="0.35">
      <c r="A29" t="s">
        <v>102</v>
      </c>
      <c r="B29">
        <v>17</v>
      </c>
      <c r="C29" t="s">
        <v>606</v>
      </c>
      <c r="D29">
        <v>69</v>
      </c>
      <c r="E29" t="s">
        <v>607</v>
      </c>
      <c r="F29">
        <v>52</v>
      </c>
      <c r="G29">
        <v>300</v>
      </c>
      <c r="H29">
        <v>7.1999999999999999E-7</v>
      </c>
      <c r="I29">
        <v>0.48</v>
      </c>
      <c r="J29">
        <v>4.6999999999999999E-4</v>
      </c>
      <c r="K29">
        <v>0.47</v>
      </c>
      <c r="L29">
        <v>7.1000000000000002E-4</v>
      </c>
      <c r="M29">
        <v>0.14000000000000001</v>
      </c>
      <c r="N29">
        <v>0.33</v>
      </c>
      <c r="O29">
        <v>24</v>
      </c>
      <c r="P29">
        <v>53</v>
      </c>
      <c r="Q29">
        <v>22</v>
      </c>
      <c r="R29" t="s">
        <v>40</v>
      </c>
      <c r="S29" t="s">
        <v>554</v>
      </c>
      <c r="T29" s="2">
        <f t="shared" si="0"/>
        <v>3.0588235294117645</v>
      </c>
    </row>
    <row r="30" spans="1:20" x14ac:dyDescent="0.35">
      <c r="A30" t="s">
        <v>105</v>
      </c>
      <c r="B30">
        <v>18</v>
      </c>
      <c r="C30" t="s">
        <v>608</v>
      </c>
      <c r="D30">
        <v>9.5</v>
      </c>
      <c r="E30" t="s">
        <v>609</v>
      </c>
      <c r="F30">
        <v>-8.5</v>
      </c>
      <c r="G30">
        <v>-46</v>
      </c>
      <c r="H30">
        <v>6.2E-2</v>
      </c>
      <c r="I30">
        <v>0.24</v>
      </c>
      <c r="J30">
        <v>0.1</v>
      </c>
      <c r="K30">
        <v>0.28999999999999998</v>
      </c>
      <c r="L30">
        <v>4.7E-2</v>
      </c>
      <c r="M30">
        <v>0.61</v>
      </c>
      <c r="N30">
        <v>3.4999999999999999E-6</v>
      </c>
      <c r="O30">
        <v>31</v>
      </c>
      <c r="P30">
        <v>65</v>
      </c>
      <c r="Q30">
        <v>4.0999999999999996</v>
      </c>
      <c r="R30" t="s">
        <v>80</v>
      </c>
      <c r="S30" t="s">
        <v>554</v>
      </c>
      <c r="T30" s="2">
        <f t="shared" si="0"/>
        <v>-0.47222222222222221</v>
      </c>
    </row>
    <row r="31" spans="1:20" x14ac:dyDescent="0.35">
      <c r="A31" t="s">
        <v>108</v>
      </c>
      <c r="B31">
        <v>20</v>
      </c>
      <c r="C31" t="s">
        <v>610</v>
      </c>
      <c r="D31">
        <v>40</v>
      </c>
      <c r="E31" t="s">
        <v>611</v>
      </c>
      <c r="F31">
        <v>20</v>
      </c>
      <c r="G31">
        <v>100</v>
      </c>
      <c r="H31">
        <v>1.0999999999999999E-2</v>
      </c>
      <c r="I31">
        <v>0.24</v>
      </c>
      <c r="J31">
        <v>9.9000000000000005E-2</v>
      </c>
      <c r="K31">
        <v>0.23</v>
      </c>
      <c r="L31">
        <v>0.11</v>
      </c>
      <c r="M31">
        <v>0.6</v>
      </c>
      <c r="N31">
        <v>4.6E-6</v>
      </c>
      <c r="O31">
        <v>39</v>
      </c>
      <c r="P31">
        <v>55</v>
      </c>
      <c r="Q31">
        <v>6.1</v>
      </c>
      <c r="R31" t="s">
        <v>40</v>
      </c>
      <c r="S31" t="s">
        <v>554</v>
      </c>
      <c r="T31" s="2">
        <f t="shared" si="0"/>
        <v>1</v>
      </c>
    </row>
    <row r="32" spans="1:20" x14ac:dyDescent="0.35">
      <c r="A32" t="s">
        <v>111</v>
      </c>
      <c r="B32">
        <v>98</v>
      </c>
      <c r="C32" t="s">
        <v>612</v>
      </c>
      <c r="D32">
        <v>110</v>
      </c>
      <c r="E32" t="s">
        <v>613</v>
      </c>
      <c r="F32">
        <v>12</v>
      </c>
      <c r="G32">
        <v>11</v>
      </c>
      <c r="H32">
        <v>0.44</v>
      </c>
      <c r="I32">
        <v>0.46</v>
      </c>
      <c r="J32">
        <v>7.6999999999999996E-4</v>
      </c>
      <c r="K32">
        <v>0.41</v>
      </c>
      <c r="L32">
        <v>3.8E-3</v>
      </c>
      <c r="M32">
        <v>0.41</v>
      </c>
      <c r="N32">
        <v>3.2000000000000002E-3</v>
      </c>
      <c r="O32">
        <v>27</v>
      </c>
      <c r="P32">
        <v>61</v>
      </c>
      <c r="Q32">
        <v>12</v>
      </c>
      <c r="R32" t="s">
        <v>162</v>
      </c>
      <c r="S32" t="s">
        <v>554</v>
      </c>
      <c r="T32" s="2">
        <f t="shared" si="0"/>
        <v>0.12244897959183673</v>
      </c>
    </row>
    <row r="33" spans="1:20" x14ac:dyDescent="0.35">
      <c r="A33" t="s">
        <v>114</v>
      </c>
      <c r="B33">
        <v>90</v>
      </c>
      <c r="C33" t="s">
        <v>614</v>
      </c>
      <c r="D33">
        <v>220</v>
      </c>
      <c r="E33" t="s">
        <v>615</v>
      </c>
      <c r="F33">
        <v>130</v>
      </c>
      <c r="G33">
        <v>140</v>
      </c>
      <c r="H33">
        <v>0.08</v>
      </c>
      <c r="I33">
        <v>0.28000000000000003</v>
      </c>
      <c r="J33">
        <v>5.0999999999999997E-2</v>
      </c>
      <c r="K33">
        <v>0.26</v>
      </c>
      <c r="L33">
        <v>6.6000000000000003E-2</v>
      </c>
      <c r="M33">
        <v>0.48</v>
      </c>
      <c r="N33">
        <v>4.2999999999999999E-4</v>
      </c>
      <c r="O33">
        <v>35</v>
      </c>
      <c r="P33">
        <v>57</v>
      </c>
      <c r="Q33">
        <v>8.1999999999999993</v>
      </c>
      <c r="R33" t="s">
        <v>36</v>
      </c>
      <c r="S33" t="s">
        <v>554</v>
      </c>
      <c r="T33" s="2">
        <f t="shared" si="0"/>
        <v>1.4444444444444444</v>
      </c>
    </row>
    <row r="34" spans="1:20" x14ac:dyDescent="0.35">
      <c r="A34" t="s">
        <v>117</v>
      </c>
      <c r="R34" t="s">
        <v>87</v>
      </c>
      <c r="S34" t="s">
        <v>554</v>
      </c>
      <c r="T34" s="2" t="e">
        <f t="shared" si="0"/>
        <v>#DIV/0!</v>
      </c>
    </row>
    <row r="35" spans="1:20" x14ac:dyDescent="0.35">
      <c r="A35" t="s">
        <v>118</v>
      </c>
      <c r="B35">
        <v>21</v>
      </c>
      <c r="C35" t="s">
        <v>616</v>
      </c>
      <c r="D35">
        <v>60</v>
      </c>
      <c r="E35" t="s">
        <v>617</v>
      </c>
      <c r="F35">
        <v>39</v>
      </c>
      <c r="G35">
        <v>190</v>
      </c>
      <c r="H35">
        <v>2.2000000000000001E-4</v>
      </c>
      <c r="I35">
        <v>0.27</v>
      </c>
      <c r="J35">
        <v>6.5000000000000002E-2</v>
      </c>
      <c r="K35">
        <v>0.27</v>
      </c>
      <c r="L35">
        <v>6.5000000000000002E-2</v>
      </c>
      <c r="M35">
        <v>0.23</v>
      </c>
      <c r="N35">
        <v>0.11</v>
      </c>
      <c r="O35">
        <v>24</v>
      </c>
      <c r="P35">
        <v>59</v>
      </c>
      <c r="Q35">
        <v>16</v>
      </c>
      <c r="R35" t="s">
        <v>22</v>
      </c>
      <c r="S35" t="s">
        <v>554</v>
      </c>
      <c r="T35" s="2">
        <f t="shared" si="0"/>
        <v>1.8571428571428572</v>
      </c>
    </row>
    <row r="36" spans="1:20" x14ac:dyDescent="0.35">
      <c r="A36" t="s">
        <v>121</v>
      </c>
      <c r="B36">
        <v>13</v>
      </c>
      <c r="C36" t="s">
        <v>618</v>
      </c>
      <c r="D36">
        <v>22</v>
      </c>
      <c r="E36" t="s">
        <v>619</v>
      </c>
      <c r="F36">
        <v>9</v>
      </c>
      <c r="G36">
        <v>69</v>
      </c>
      <c r="H36">
        <v>0.12</v>
      </c>
      <c r="I36">
        <v>0.47</v>
      </c>
      <c r="J36">
        <v>6.9999999999999999E-4</v>
      </c>
      <c r="K36">
        <v>0.41</v>
      </c>
      <c r="L36">
        <v>3.3E-3</v>
      </c>
      <c r="M36">
        <v>0.48</v>
      </c>
      <c r="N36">
        <v>4.2000000000000002E-4</v>
      </c>
      <c r="O36">
        <v>35</v>
      </c>
      <c r="P36">
        <v>57</v>
      </c>
      <c r="Q36">
        <v>8.1999999999999993</v>
      </c>
      <c r="R36" t="s">
        <v>162</v>
      </c>
      <c r="S36" t="s">
        <v>554</v>
      </c>
      <c r="T36" s="2">
        <f t="shared" si="0"/>
        <v>0.69230769230769229</v>
      </c>
    </row>
    <row r="37" spans="1:20" x14ac:dyDescent="0.35">
      <c r="A37" t="s">
        <v>124</v>
      </c>
      <c r="B37">
        <v>31</v>
      </c>
      <c r="C37" t="s">
        <v>620</v>
      </c>
      <c r="D37">
        <v>30</v>
      </c>
      <c r="E37" t="s">
        <v>621</v>
      </c>
      <c r="F37">
        <v>-1</v>
      </c>
      <c r="G37">
        <v>-4.8</v>
      </c>
      <c r="H37">
        <v>0.9</v>
      </c>
      <c r="I37">
        <v>0.76</v>
      </c>
      <c r="J37">
        <v>2.1999999999999999E-10</v>
      </c>
      <c r="K37">
        <v>0.74</v>
      </c>
      <c r="L37">
        <v>8.4999999999999996E-10</v>
      </c>
      <c r="M37">
        <v>0.74</v>
      </c>
      <c r="N37">
        <v>9.900000000000001E-10</v>
      </c>
      <c r="O37">
        <v>51</v>
      </c>
      <c r="P37">
        <v>43</v>
      </c>
      <c r="Q37">
        <v>6.1</v>
      </c>
      <c r="R37" t="s">
        <v>593</v>
      </c>
      <c r="S37" t="s">
        <v>554</v>
      </c>
      <c r="T37" s="2">
        <f t="shared" si="0"/>
        <v>-3.2258064516129031E-2</v>
      </c>
    </row>
    <row r="38" spans="1:20" x14ac:dyDescent="0.35">
      <c r="A38" t="s">
        <v>50</v>
      </c>
      <c r="B38">
        <v>16</v>
      </c>
      <c r="C38" t="s">
        <v>571</v>
      </c>
      <c r="D38">
        <v>24</v>
      </c>
      <c r="E38" t="s">
        <v>572</v>
      </c>
      <c r="F38">
        <v>8</v>
      </c>
      <c r="G38">
        <v>58</v>
      </c>
      <c r="H38">
        <v>0.13</v>
      </c>
      <c r="I38">
        <v>0.48</v>
      </c>
      <c r="J38">
        <v>5.1999999999999995E-4</v>
      </c>
      <c r="K38">
        <v>0.48</v>
      </c>
      <c r="L38">
        <v>5.1999999999999995E-4</v>
      </c>
      <c r="M38">
        <v>0.47</v>
      </c>
      <c r="N38">
        <v>5.6999999999999998E-4</v>
      </c>
      <c r="O38">
        <v>24</v>
      </c>
      <c r="P38">
        <v>67</v>
      </c>
      <c r="Q38">
        <v>8.1999999999999993</v>
      </c>
      <c r="R38" t="s">
        <v>162</v>
      </c>
      <c r="S38" t="s">
        <v>554</v>
      </c>
      <c r="T38" s="2">
        <f t="shared" si="0"/>
        <v>0.5</v>
      </c>
    </row>
    <row r="39" spans="1:20" x14ac:dyDescent="0.35">
      <c r="A39" t="s">
        <v>127</v>
      </c>
      <c r="B39">
        <v>15</v>
      </c>
      <c r="C39" t="s">
        <v>622</v>
      </c>
      <c r="D39">
        <v>6.9</v>
      </c>
      <c r="E39" t="s">
        <v>623</v>
      </c>
      <c r="F39">
        <v>-8.1</v>
      </c>
      <c r="G39">
        <v>-55</v>
      </c>
      <c r="H39">
        <v>2.1000000000000001E-2</v>
      </c>
      <c r="I39">
        <v>-5.8999999999999997E-2</v>
      </c>
      <c r="J39">
        <v>0.69</v>
      </c>
      <c r="K39">
        <v>-3.3000000000000002E-2</v>
      </c>
      <c r="L39">
        <v>0.82</v>
      </c>
      <c r="M39">
        <v>9.8000000000000004E-2</v>
      </c>
      <c r="N39">
        <v>0.5</v>
      </c>
      <c r="O39">
        <v>24</v>
      </c>
      <c r="P39">
        <v>59</v>
      </c>
      <c r="Q39">
        <v>16</v>
      </c>
      <c r="R39" t="s">
        <v>22</v>
      </c>
      <c r="S39" t="s">
        <v>554</v>
      </c>
      <c r="T39" s="2">
        <f t="shared" si="0"/>
        <v>-0.53999999999999992</v>
      </c>
    </row>
    <row r="40" spans="1:20" x14ac:dyDescent="0.35">
      <c r="A40" t="s">
        <v>128</v>
      </c>
      <c r="B40">
        <v>7.4</v>
      </c>
      <c r="C40" t="s">
        <v>624</v>
      </c>
      <c r="D40">
        <v>13</v>
      </c>
      <c r="E40" t="s">
        <v>625</v>
      </c>
      <c r="F40">
        <v>5.6</v>
      </c>
      <c r="G40">
        <v>80</v>
      </c>
      <c r="H40">
        <v>0.23</v>
      </c>
      <c r="I40">
        <v>0.24</v>
      </c>
      <c r="J40">
        <v>9.4E-2</v>
      </c>
      <c r="K40">
        <v>0.22</v>
      </c>
      <c r="L40">
        <v>0.13</v>
      </c>
      <c r="M40">
        <v>0.59</v>
      </c>
      <c r="N40">
        <v>8.4999999999999999E-6</v>
      </c>
      <c r="O40">
        <v>31</v>
      </c>
      <c r="P40">
        <v>61</v>
      </c>
      <c r="Q40">
        <v>8.1999999999999993</v>
      </c>
      <c r="R40" t="s">
        <v>36</v>
      </c>
      <c r="S40" t="s">
        <v>554</v>
      </c>
      <c r="T40" s="2">
        <f t="shared" si="0"/>
        <v>0.75675675675675669</v>
      </c>
    </row>
    <row r="41" spans="1:20" x14ac:dyDescent="0.35">
      <c r="A41" t="s">
        <v>129</v>
      </c>
      <c r="B41">
        <v>27</v>
      </c>
      <c r="C41" t="s">
        <v>626</v>
      </c>
      <c r="D41">
        <v>430</v>
      </c>
      <c r="E41" t="s">
        <v>627</v>
      </c>
      <c r="F41">
        <v>403</v>
      </c>
      <c r="G41">
        <v>1500</v>
      </c>
      <c r="H41">
        <v>3.2000000000000002E-3</v>
      </c>
      <c r="I41">
        <v>9.5000000000000001E-2</v>
      </c>
      <c r="J41">
        <v>0.52</v>
      </c>
      <c r="K41">
        <v>0.1</v>
      </c>
      <c r="L41">
        <v>0.48</v>
      </c>
      <c r="M41">
        <v>0.4</v>
      </c>
      <c r="N41">
        <v>4.7999999999999996E-3</v>
      </c>
      <c r="O41">
        <v>45</v>
      </c>
      <c r="P41">
        <v>49</v>
      </c>
      <c r="Q41">
        <v>6.1</v>
      </c>
      <c r="R41" t="s">
        <v>40</v>
      </c>
      <c r="S41" t="s">
        <v>554</v>
      </c>
      <c r="T41" s="2">
        <f t="shared" si="0"/>
        <v>14.925925925925926</v>
      </c>
    </row>
    <row r="42" spans="1:20" x14ac:dyDescent="0.35">
      <c r="A42" t="s">
        <v>130</v>
      </c>
      <c r="B42">
        <v>730</v>
      </c>
      <c r="C42" t="s">
        <v>628</v>
      </c>
      <c r="D42">
        <v>1100</v>
      </c>
      <c r="E42" t="s">
        <v>629</v>
      </c>
      <c r="F42">
        <v>370</v>
      </c>
      <c r="G42">
        <v>47</v>
      </c>
      <c r="H42">
        <v>5.8E-5</v>
      </c>
      <c r="I42">
        <v>0.32</v>
      </c>
      <c r="J42">
        <v>2.5000000000000001E-2</v>
      </c>
      <c r="K42">
        <v>0.33</v>
      </c>
      <c r="L42">
        <v>0.02</v>
      </c>
      <c r="M42">
        <v>0.33</v>
      </c>
      <c r="N42">
        <v>2.1000000000000001E-2</v>
      </c>
      <c r="O42">
        <v>22</v>
      </c>
      <c r="P42">
        <v>65</v>
      </c>
      <c r="Q42">
        <v>12</v>
      </c>
      <c r="R42" t="s">
        <v>22</v>
      </c>
      <c r="S42" t="s">
        <v>554</v>
      </c>
      <c r="T42" s="2">
        <f t="shared" si="0"/>
        <v>0.50684931506849318</v>
      </c>
    </row>
    <row r="43" spans="1:20" x14ac:dyDescent="0.35">
      <c r="A43" t="s">
        <v>133</v>
      </c>
      <c r="R43" t="s">
        <v>87</v>
      </c>
      <c r="S43" t="s">
        <v>554</v>
      </c>
      <c r="T43" s="2" t="e">
        <f t="shared" si="0"/>
        <v>#DIV/0!</v>
      </c>
    </row>
    <row r="44" spans="1:20" x14ac:dyDescent="0.35">
      <c r="A44" t="s">
        <v>136</v>
      </c>
      <c r="B44">
        <v>1400</v>
      </c>
      <c r="C44" t="s">
        <v>630</v>
      </c>
      <c r="D44">
        <v>1700</v>
      </c>
      <c r="E44" t="s">
        <v>631</v>
      </c>
      <c r="F44">
        <v>300</v>
      </c>
      <c r="G44">
        <v>20</v>
      </c>
      <c r="H44">
        <v>4.1000000000000002E-2</v>
      </c>
      <c r="I44">
        <v>0.28999999999999998</v>
      </c>
      <c r="J44">
        <v>4.1000000000000002E-2</v>
      </c>
      <c r="K44">
        <v>2.9000000000000001E-2</v>
      </c>
      <c r="L44">
        <v>0.84</v>
      </c>
      <c r="M44">
        <v>0.37</v>
      </c>
      <c r="N44">
        <v>9.7000000000000003E-3</v>
      </c>
      <c r="O44">
        <v>35</v>
      </c>
      <c r="P44">
        <v>53</v>
      </c>
      <c r="Q44">
        <v>12</v>
      </c>
      <c r="R44" t="s">
        <v>22</v>
      </c>
      <c r="S44" t="s">
        <v>554</v>
      </c>
      <c r="T44" s="2">
        <f t="shared" si="0"/>
        <v>0.21428571428571427</v>
      </c>
    </row>
  </sheetData>
  <autoFilter ref="A1:T44" xr:uid="{C76F1189-8DE7-4F2B-A924-2A7FE7FB363B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WFFQ1_NOV21</vt:lpstr>
      <vt:lpstr>WFFQ1_MAR22</vt:lpstr>
      <vt:lpstr>WFFQ2_NOV22</vt:lpstr>
      <vt:lpstr>WFFQ2_MAR23</vt:lpstr>
      <vt:lpstr>WFFQ3_NOV23</vt:lpstr>
      <vt:lpstr>WFFQ3_MARS24</vt:lpstr>
      <vt:lpstr>MFFQ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adenieul</dc:creator>
  <cp:lastModifiedBy>Anaëlle Denieul</cp:lastModifiedBy>
  <dcterms:created xsi:type="dcterms:W3CDTF">2025-09-13T08:06:17Z</dcterms:created>
  <dcterms:modified xsi:type="dcterms:W3CDTF">2025-09-29T15:15:09Z</dcterms:modified>
</cp:coreProperties>
</file>